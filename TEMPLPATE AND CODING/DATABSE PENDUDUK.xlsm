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svg" ContentType="image/svg+xml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6" rupBuild="9303" codeName="{8C4F1C90-05EB-6A55-5F09-09C24B55AC0B}"/>
  <workbookPr codeName="ThisWorkbook"/>
  <bookViews>
    <workbookView xWindow="-120" yWindow="-120" windowWidth="20730" windowHeight="11760" tabRatio="0"/>
  </bookViews>
  <sheets>
    <sheet name="HOME" sheetId="2" r:id="rId1"/>
    <sheet name="DATAPENDUDUK" sheetId="1" r:id="rId2"/>
    <sheet name="CARIDATA" sheetId="8" r:id="rId3"/>
    <sheet name="MENINGGAL" sheetId="5" r:id="rId4"/>
    <sheet name="PINDAH" sheetId="7" r:id="rId5"/>
    <sheet name="USIA" sheetId="3" r:id="rId6"/>
    <sheet name="REKAPITULASI" sheetId="4" r:id="rId7"/>
  </sheets>
  <definedNames>
    <definedName name="_xlnm._FilterDatabase" localSheetId="1" hidden="1">DATAPENDUDUK!$B$4:$K$6</definedName>
  </definedNames>
  <calcPr calcId="14562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B14" i="4" l="1"/>
  <c r="A5" i="7" l="1"/>
  <c r="A7" i="5"/>
  <c r="A8" i="5"/>
  <c r="A9" i="5"/>
  <c r="A10" i="5"/>
  <c r="A11" i="5"/>
  <c r="A12" i="5"/>
  <c r="A13" i="5"/>
  <c r="A14" i="5"/>
  <c r="A15" i="5"/>
  <c r="A16" i="5"/>
  <c r="A17" i="5"/>
  <c r="A18" i="5"/>
  <c r="A19" i="5"/>
  <c r="A20" i="5"/>
  <c r="A21" i="5"/>
  <c r="A22" i="5"/>
  <c r="A23" i="5"/>
  <c r="A24" i="5"/>
  <c r="A25" i="5"/>
  <c r="A26" i="5"/>
  <c r="A27" i="5"/>
  <c r="A28" i="5"/>
  <c r="A29" i="5"/>
  <c r="A30" i="5"/>
  <c r="A31" i="5"/>
  <c r="A32" i="5"/>
  <c r="A33" i="5"/>
  <c r="A34" i="5"/>
  <c r="A35" i="5"/>
  <c r="A36" i="5"/>
  <c r="A37" i="5"/>
  <c r="A38" i="5"/>
  <c r="A39" i="5"/>
  <c r="A40" i="5"/>
  <c r="A41" i="5"/>
  <c r="A42" i="5"/>
  <c r="A43" i="5"/>
  <c r="A44" i="5"/>
  <c r="A45" i="5"/>
  <c r="A46" i="5"/>
  <c r="A47" i="5"/>
  <c r="A48" i="5"/>
  <c r="A49" i="5"/>
  <c r="A50" i="5"/>
  <c r="A51" i="5"/>
  <c r="A52" i="5"/>
  <c r="A53" i="5"/>
  <c r="A54" i="5"/>
  <c r="A55" i="5"/>
  <c r="A56" i="5"/>
  <c r="A57" i="5"/>
  <c r="A58" i="5"/>
  <c r="A59" i="5"/>
  <c r="A60" i="5"/>
  <c r="A61" i="5"/>
  <c r="A62" i="5"/>
  <c r="A63" i="5"/>
  <c r="A64" i="5"/>
  <c r="A65" i="5"/>
  <c r="A66" i="5"/>
  <c r="A67" i="5"/>
  <c r="A68" i="5"/>
  <c r="A69" i="5"/>
  <c r="A70" i="5"/>
  <c r="A71" i="5"/>
  <c r="A72" i="5"/>
  <c r="A73" i="5"/>
  <c r="A74" i="5"/>
  <c r="A75" i="5"/>
  <c r="A76" i="5"/>
  <c r="A77" i="5"/>
  <c r="A78" i="5"/>
  <c r="A79" i="5"/>
  <c r="A80" i="5"/>
  <c r="A81" i="5"/>
  <c r="A82" i="5"/>
  <c r="A83" i="5"/>
  <c r="A84" i="5"/>
  <c r="A85" i="5"/>
  <c r="A86" i="5"/>
  <c r="A87" i="5"/>
  <c r="A88" i="5"/>
  <c r="A89" i="5"/>
  <c r="A90" i="5"/>
  <c r="A91" i="5"/>
  <c r="A92" i="5"/>
  <c r="A93" i="5"/>
  <c r="A94" i="5"/>
  <c r="A95" i="5"/>
  <c r="A96" i="5"/>
  <c r="A97" i="5"/>
  <c r="A98" i="5"/>
  <c r="A99" i="5"/>
  <c r="A100" i="5"/>
  <c r="A101" i="5"/>
  <c r="A102" i="5"/>
  <c r="A103" i="5"/>
  <c r="A104" i="5"/>
  <c r="A105" i="5"/>
  <c r="A106" i="5"/>
  <c r="A107" i="5"/>
  <c r="A108" i="5"/>
  <c r="A109" i="5"/>
  <c r="A110" i="5"/>
  <c r="A111" i="5"/>
  <c r="A112" i="5"/>
  <c r="A113" i="5"/>
  <c r="A114" i="5"/>
  <c r="A115" i="5"/>
  <c r="A116" i="5"/>
  <c r="A117" i="5"/>
  <c r="A118" i="5"/>
  <c r="A119" i="5"/>
  <c r="A120" i="5"/>
  <c r="A121" i="5"/>
  <c r="A122" i="5"/>
  <c r="A123" i="5"/>
  <c r="A124" i="5"/>
  <c r="A125" i="5"/>
  <c r="A126" i="5"/>
  <c r="A127" i="5"/>
  <c r="A128" i="5"/>
  <c r="A129" i="5"/>
  <c r="A130" i="5"/>
  <c r="A131" i="5"/>
  <c r="A132" i="5"/>
  <c r="A133" i="5"/>
  <c r="A134" i="5"/>
  <c r="A135" i="5"/>
  <c r="A136" i="5"/>
  <c r="A137" i="5"/>
  <c r="A138" i="5"/>
  <c r="A139" i="5"/>
  <c r="A140" i="5"/>
  <c r="A141" i="5"/>
  <c r="A142" i="5"/>
  <c r="A143" i="5"/>
  <c r="A144" i="5"/>
  <c r="A145" i="5"/>
  <c r="A146" i="5"/>
  <c r="A147" i="5"/>
  <c r="A148" i="5"/>
  <c r="A149" i="5"/>
  <c r="A150" i="5"/>
  <c r="A151" i="5"/>
  <c r="A152" i="5"/>
  <c r="A153" i="5"/>
  <c r="A154" i="5"/>
  <c r="A155" i="5"/>
  <c r="A156" i="5"/>
  <c r="A157" i="5"/>
  <c r="A158" i="5"/>
  <c r="A159" i="5"/>
  <c r="A160" i="5"/>
  <c r="A161" i="5"/>
  <c r="A162" i="5"/>
  <c r="A163" i="5"/>
  <c r="A164" i="5"/>
  <c r="A165" i="5"/>
  <c r="A166" i="5"/>
  <c r="A167" i="5"/>
  <c r="A168" i="5"/>
  <c r="A169" i="5"/>
  <c r="A170" i="5"/>
  <c r="A171" i="5"/>
  <c r="A172" i="5"/>
  <c r="A173" i="5"/>
  <c r="A174" i="5"/>
  <c r="A175" i="5"/>
  <c r="A176" i="5"/>
  <c r="A177" i="5"/>
  <c r="A178" i="5"/>
  <c r="A179" i="5"/>
  <c r="A180" i="5"/>
  <c r="A181" i="5"/>
  <c r="A182" i="5"/>
  <c r="A183" i="5"/>
  <c r="A184" i="5"/>
  <c r="A185" i="5"/>
  <c r="A186" i="5"/>
  <c r="A187" i="5"/>
  <c r="A188" i="5"/>
  <c r="A189" i="5"/>
  <c r="A190" i="5"/>
  <c r="A191" i="5"/>
  <c r="A192" i="5"/>
  <c r="A193" i="5"/>
  <c r="A194" i="5"/>
  <c r="A195" i="5"/>
  <c r="A196" i="5"/>
  <c r="A197" i="5"/>
  <c r="A198" i="5"/>
  <c r="A199" i="5"/>
  <c r="A200" i="5"/>
  <c r="A201" i="5"/>
  <c r="A202" i="5"/>
  <c r="A203" i="5"/>
  <c r="A204" i="5"/>
  <c r="A205" i="5"/>
  <c r="A206" i="5"/>
  <c r="A207" i="5"/>
  <c r="A208" i="5"/>
  <c r="A209" i="5"/>
  <c r="A210" i="5"/>
  <c r="A211" i="5"/>
  <c r="A212" i="5"/>
  <c r="A213" i="5"/>
  <c r="A214" i="5"/>
  <c r="A215" i="5"/>
  <c r="A216" i="5"/>
  <c r="A217" i="5"/>
  <c r="A218" i="5"/>
  <c r="A219" i="5"/>
  <c r="A220" i="5"/>
  <c r="A221" i="5"/>
  <c r="A222" i="5"/>
  <c r="A223" i="5"/>
  <c r="A224" i="5"/>
  <c r="A225" i="5"/>
  <c r="A226" i="5"/>
  <c r="A227" i="5"/>
  <c r="A228" i="5"/>
  <c r="A229" i="5"/>
  <c r="A230" i="5"/>
  <c r="A231" i="5"/>
  <c r="A232" i="5"/>
  <c r="A233" i="5"/>
  <c r="A234" i="5"/>
  <c r="A235" i="5"/>
  <c r="A236" i="5"/>
  <c r="A237" i="5"/>
  <c r="A238" i="5"/>
  <c r="A239" i="5"/>
  <c r="A240" i="5"/>
  <c r="A241" i="5"/>
  <c r="A242" i="5"/>
  <c r="A243" i="5"/>
  <c r="A244" i="5"/>
  <c r="A245" i="5"/>
  <c r="A246" i="5"/>
  <c r="A247" i="5"/>
  <c r="A248" i="5"/>
  <c r="A249" i="5"/>
  <c r="A250" i="5"/>
  <c r="A251" i="5"/>
  <c r="A252" i="5"/>
  <c r="A253" i="5"/>
  <c r="A254" i="5"/>
  <c r="A255" i="5"/>
  <c r="A256" i="5"/>
  <c r="A257" i="5"/>
  <c r="A258" i="5"/>
  <c r="A259" i="5"/>
  <c r="A260" i="5"/>
  <c r="A261" i="5"/>
  <c r="A262" i="5"/>
  <c r="A263" i="5"/>
  <c r="A264" i="5"/>
  <c r="A265" i="5"/>
  <c r="A266" i="5"/>
  <c r="A267" i="5"/>
  <c r="A268" i="5"/>
  <c r="A269" i="5"/>
  <c r="A270" i="5"/>
  <c r="A271" i="5"/>
  <c r="A272" i="5"/>
  <c r="A273" i="5"/>
  <c r="A274" i="5"/>
  <c r="A275" i="5"/>
  <c r="A276" i="5"/>
  <c r="A277" i="5"/>
  <c r="A278" i="5"/>
  <c r="A279" i="5"/>
  <c r="A280" i="5"/>
  <c r="A281" i="5"/>
  <c r="A282" i="5"/>
  <c r="A283" i="5"/>
  <c r="A284" i="5"/>
  <c r="A285" i="5"/>
  <c r="A286" i="5"/>
  <c r="A287" i="5"/>
  <c r="A288" i="5"/>
  <c r="A289" i="5"/>
  <c r="A290" i="5"/>
  <c r="A291" i="5"/>
  <c r="A292" i="5"/>
  <c r="A293" i="5"/>
  <c r="A294" i="5"/>
  <c r="A295" i="5"/>
  <c r="A296" i="5"/>
  <c r="A297" i="5"/>
  <c r="A298" i="5"/>
  <c r="A299" i="5"/>
  <c r="A300" i="5"/>
  <c r="A301" i="5"/>
  <c r="A302" i="5"/>
  <c r="A303" i="5"/>
  <c r="A304" i="5"/>
  <c r="A305" i="5"/>
  <c r="A306" i="5"/>
  <c r="A307" i="5"/>
  <c r="A308" i="5"/>
  <c r="A309" i="5"/>
  <c r="A310" i="5"/>
  <c r="A311" i="5"/>
  <c r="A312" i="5"/>
  <c r="A313" i="5"/>
  <c r="A314" i="5"/>
  <c r="A315" i="5"/>
  <c r="A316" i="5"/>
  <c r="A317" i="5"/>
  <c r="A318" i="5"/>
  <c r="A319" i="5"/>
  <c r="A320" i="5"/>
  <c r="A321" i="5"/>
  <c r="A322" i="5"/>
  <c r="A323" i="5"/>
  <c r="A324" i="5"/>
  <c r="A325" i="5"/>
  <c r="A326" i="5"/>
  <c r="A327" i="5"/>
  <c r="A328" i="5"/>
  <c r="A329" i="5"/>
  <c r="A330" i="5"/>
  <c r="A331" i="5"/>
  <c r="A332" i="5"/>
  <c r="A333" i="5"/>
  <c r="A334" i="5"/>
  <c r="A335" i="5"/>
  <c r="A336" i="5"/>
  <c r="A337" i="5"/>
  <c r="A338" i="5"/>
  <c r="A339" i="5"/>
  <c r="A340" i="5"/>
  <c r="A341" i="5"/>
  <c r="A342" i="5"/>
  <c r="A343" i="5"/>
  <c r="A344" i="5"/>
  <c r="A345" i="5"/>
  <c r="A346" i="5"/>
  <c r="A347" i="5"/>
  <c r="A348" i="5"/>
  <c r="A349" i="5"/>
  <c r="A350" i="5"/>
  <c r="A351" i="5"/>
  <c r="A352" i="5"/>
  <c r="A353" i="5"/>
  <c r="A354" i="5"/>
  <c r="A355" i="5"/>
  <c r="A356" i="5"/>
  <c r="A357" i="5"/>
  <c r="A358" i="5"/>
  <c r="A359" i="5"/>
  <c r="A360" i="5"/>
  <c r="A361" i="5"/>
  <c r="A362" i="5"/>
  <c r="A363" i="5"/>
  <c r="A364" i="5"/>
  <c r="A365" i="5"/>
  <c r="A366" i="5"/>
  <c r="A367" i="5"/>
  <c r="A368" i="5"/>
  <c r="A369" i="5"/>
  <c r="A370" i="5"/>
  <c r="A371" i="5"/>
  <c r="A372" i="5"/>
  <c r="A373" i="5"/>
  <c r="A374" i="5"/>
  <c r="A375" i="5"/>
  <c r="A376" i="5"/>
  <c r="A377" i="5"/>
  <c r="A378" i="5"/>
  <c r="A379" i="5"/>
  <c r="A380" i="5"/>
  <c r="A381" i="5"/>
  <c r="A382" i="5"/>
  <c r="A383" i="5"/>
  <c r="A384" i="5"/>
  <c r="A385" i="5"/>
  <c r="A386" i="5"/>
  <c r="A387" i="5"/>
  <c r="A388" i="5"/>
  <c r="A389" i="5"/>
  <c r="A390" i="5"/>
  <c r="A391" i="5"/>
  <c r="A392" i="5"/>
  <c r="A393" i="5"/>
  <c r="A394" i="5"/>
  <c r="A395" i="5"/>
  <c r="A396" i="5"/>
  <c r="A397" i="5"/>
  <c r="A398" i="5"/>
  <c r="A399" i="5"/>
  <c r="A400" i="5"/>
  <c r="A401" i="5"/>
  <c r="A402" i="5"/>
  <c r="A403" i="5"/>
  <c r="A404" i="5"/>
  <c r="A405" i="5"/>
  <c r="A406" i="5"/>
  <c r="A407" i="5"/>
  <c r="A408" i="5"/>
  <c r="A409" i="5"/>
  <c r="A410" i="5"/>
  <c r="A411" i="5"/>
  <c r="A412" i="5"/>
  <c r="A413" i="5"/>
  <c r="A414" i="5"/>
  <c r="A415" i="5"/>
  <c r="A416" i="5"/>
  <c r="A417" i="5"/>
  <c r="A418" i="5"/>
  <c r="A419" i="5"/>
  <c r="A420" i="5"/>
  <c r="A421" i="5"/>
  <c r="A422" i="5"/>
  <c r="A423" i="5"/>
  <c r="A424" i="5"/>
  <c r="A425" i="5"/>
  <c r="A426" i="5"/>
  <c r="A427" i="5"/>
  <c r="A428" i="5"/>
  <c r="A429" i="5"/>
  <c r="A430" i="5"/>
  <c r="A431" i="5"/>
  <c r="A432" i="5"/>
  <c r="A433" i="5"/>
  <c r="A434" i="5"/>
  <c r="A435" i="5"/>
  <c r="A436" i="5"/>
  <c r="A437" i="5"/>
  <c r="A438" i="5"/>
  <c r="A439" i="5"/>
  <c r="A440" i="5"/>
  <c r="A441" i="5"/>
  <c r="A442" i="5"/>
  <c r="A443" i="5"/>
  <c r="A444" i="5"/>
  <c r="A445" i="5"/>
  <c r="A446" i="5"/>
  <c r="A447" i="5"/>
  <c r="A448" i="5"/>
  <c r="A449" i="5"/>
  <c r="A450" i="5"/>
  <c r="A451" i="5"/>
  <c r="A452" i="5"/>
  <c r="A453" i="5"/>
  <c r="A454" i="5"/>
  <c r="A455" i="5"/>
  <c r="A456" i="5"/>
  <c r="A457" i="5"/>
  <c r="A458" i="5"/>
  <c r="A459" i="5"/>
  <c r="A460" i="5"/>
  <c r="A461" i="5"/>
  <c r="A462" i="5"/>
  <c r="A463" i="5"/>
  <c r="A464" i="5"/>
  <c r="A465" i="5"/>
  <c r="A466" i="5"/>
  <c r="A467" i="5"/>
  <c r="A468" i="5"/>
  <c r="A469" i="5"/>
  <c r="A470" i="5"/>
  <c r="A471" i="5"/>
  <c r="A472" i="5"/>
  <c r="A473" i="5"/>
  <c r="A474" i="5"/>
  <c r="A475" i="5"/>
  <c r="A476" i="5"/>
  <c r="A477" i="5"/>
  <c r="A478" i="5"/>
  <c r="A479" i="5"/>
  <c r="A480" i="5"/>
  <c r="A481" i="5"/>
  <c r="A482" i="5"/>
  <c r="A483" i="5"/>
  <c r="A484" i="5"/>
  <c r="A485" i="5"/>
  <c r="A486" i="5"/>
  <c r="A487" i="5"/>
  <c r="A488" i="5"/>
  <c r="A489" i="5"/>
  <c r="A490" i="5"/>
  <c r="A491" i="5"/>
  <c r="A492" i="5"/>
  <c r="A493" i="5"/>
  <c r="A494" i="5"/>
  <c r="A495" i="5"/>
  <c r="A496" i="5"/>
  <c r="A497" i="5"/>
  <c r="A498" i="5"/>
  <c r="A499" i="5"/>
  <c r="A500" i="5"/>
  <c r="A6" i="5"/>
  <c r="A5" i="1"/>
  <c r="H2" i="7"/>
  <c r="I2" i="5"/>
  <c r="A5" i="5"/>
  <c r="G216" i="3"/>
  <c r="H216" i="3" s="1"/>
  <c r="G245" i="3"/>
  <c r="H245" i="3" s="1"/>
  <c r="G273" i="3"/>
  <c r="H273" i="3" s="1"/>
  <c r="G376" i="3"/>
  <c r="H376" i="3" s="1"/>
  <c r="G398" i="3"/>
  <c r="H398" i="3" s="1"/>
  <c r="B6" i="3"/>
  <c r="C6" i="3"/>
  <c r="D6" i="3"/>
  <c r="E6" i="3"/>
  <c r="F6" i="3"/>
  <c r="G6" i="3" s="1"/>
  <c r="H6" i="3" s="1"/>
  <c r="B7" i="3"/>
  <c r="C7" i="3"/>
  <c r="D7" i="3"/>
  <c r="E7" i="3"/>
  <c r="F7" i="3"/>
  <c r="G7" i="3" s="1"/>
  <c r="H7" i="3" s="1"/>
  <c r="B8" i="3"/>
  <c r="C8" i="3"/>
  <c r="D8" i="3"/>
  <c r="E8" i="3"/>
  <c r="F8" i="3"/>
  <c r="G8" i="3" s="1"/>
  <c r="H8" i="3" s="1"/>
  <c r="B9" i="3"/>
  <c r="C9" i="3"/>
  <c r="D9" i="3"/>
  <c r="E9" i="3"/>
  <c r="F9" i="3"/>
  <c r="G9" i="3" s="1"/>
  <c r="H9" i="3" s="1"/>
  <c r="B10" i="3"/>
  <c r="C10" i="3"/>
  <c r="D10" i="3"/>
  <c r="E10" i="3"/>
  <c r="F10" i="3"/>
  <c r="G10" i="3" s="1"/>
  <c r="H10" i="3" s="1"/>
  <c r="B11" i="3"/>
  <c r="C11" i="3"/>
  <c r="D11" i="3"/>
  <c r="E11" i="3"/>
  <c r="F11" i="3"/>
  <c r="G11" i="3" s="1"/>
  <c r="H11" i="3" s="1"/>
  <c r="B12" i="3"/>
  <c r="C12" i="3"/>
  <c r="D12" i="3"/>
  <c r="E12" i="3"/>
  <c r="F12" i="3"/>
  <c r="G12" i="3" s="1"/>
  <c r="H12" i="3" s="1"/>
  <c r="B13" i="3"/>
  <c r="C13" i="3"/>
  <c r="D13" i="3"/>
  <c r="E13" i="3"/>
  <c r="F13" i="3"/>
  <c r="G13" i="3" s="1"/>
  <c r="H13" i="3" s="1"/>
  <c r="B14" i="3"/>
  <c r="C14" i="3"/>
  <c r="D14" i="3"/>
  <c r="E14" i="3"/>
  <c r="F14" i="3"/>
  <c r="G14" i="3" s="1"/>
  <c r="H14" i="3" s="1"/>
  <c r="B15" i="3"/>
  <c r="C15" i="3"/>
  <c r="D15" i="3"/>
  <c r="E15" i="3"/>
  <c r="F15" i="3"/>
  <c r="G15" i="3" s="1"/>
  <c r="H15" i="3" s="1"/>
  <c r="B16" i="3"/>
  <c r="C16" i="3"/>
  <c r="D16" i="3"/>
  <c r="E16" i="3"/>
  <c r="F16" i="3"/>
  <c r="G16" i="3" s="1"/>
  <c r="H16" i="3" s="1"/>
  <c r="B17" i="3"/>
  <c r="C17" i="3"/>
  <c r="D17" i="3"/>
  <c r="E17" i="3"/>
  <c r="F17" i="3"/>
  <c r="G17" i="3" s="1"/>
  <c r="H17" i="3" s="1"/>
  <c r="B18" i="3"/>
  <c r="C18" i="3"/>
  <c r="D18" i="3"/>
  <c r="E18" i="3"/>
  <c r="F18" i="3"/>
  <c r="G18" i="3" s="1"/>
  <c r="H18" i="3" s="1"/>
  <c r="B19" i="3"/>
  <c r="C19" i="3"/>
  <c r="D19" i="3"/>
  <c r="E19" i="3"/>
  <c r="F19" i="3"/>
  <c r="G19" i="3" s="1"/>
  <c r="H19" i="3" s="1"/>
  <c r="B20" i="3"/>
  <c r="C20" i="3"/>
  <c r="D20" i="3"/>
  <c r="E20" i="3"/>
  <c r="F20" i="3"/>
  <c r="G20" i="3" s="1"/>
  <c r="H20" i="3" s="1"/>
  <c r="B21" i="3"/>
  <c r="C21" i="3"/>
  <c r="D21" i="3"/>
  <c r="E21" i="3"/>
  <c r="F21" i="3"/>
  <c r="G21" i="3" s="1"/>
  <c r="H21" i="3" s="1"/>
  <c r="B22" i="3"/>
  <c r="C22" i="3"/>
  <c r="D22" i="3"/>
  <c r="E22" i="3"/>
  <c r="F22" i="3"/>
  <c r="G22" i="3" s="1"/>
  <c r="H22" i="3" s="1"/>
  <c r="B23" i="3"/>
  <c r="C23" i="3"/>
  <c r="D23" i="3"/>
  <c r="E23" i="3"/>
  <c r="F23" i="3"/>
  <c r="G23" i="3" s="1"/>
  <c r="H23" i="3" s="1"/>
  <c r="B24" i="3"/>
  <c r="C24" i="3"/>
  <c r="D24" i="3"/>
  <c r="E24" i="3"/>
  <c r="F24" i="3"/>
  <c r="G24" i="3" s="1"/>
  <c r="H24" i="3" s="1"/>
  <c r="B25" i="3"/>
  <c r="C25" i="3"/>
  <c r="D25" i="3"/>
  <c r="E25" i="3"/>
  <c r="F25" i="3"/>
  <c r="G25" i="3" s="1"/>
  <c r="H25" i="3" s="1"/>
  <c r="B26" i="3"/>
  <c r="C26" i="3"/>
  <c r="D26" i="3"/>
  <c r="E26" i="3"/>
  <c r="F26" i="3"/>
  <c r="G26" i="3" s="1"/>
  <c r="H26" i="3" s="1"/>
  <c r="B27" i="3"/>
  <c r="C27" i="3"/>
  <c r="D27" i="3"/>
  <c r="E27" i="3"/>
  <c r="F27" i="3"/>
  <c r="G27" i="3" s="1"/>
  <c r="H27" i="3" s="1"/>
  <c r="B28" i="3"/>
  <c r="C28" i="3"/>
  <c r="D28" i="3"/>
  <c r="E28" i="3"/>
  <c r="F28" i="3"/>
  <c r="G28" i="3" s="1"/>
  <c r="H28" i="3" s="1"/>
  <c r="B29" i="3"/>
  <c r="C29" i="3"/>
  <c r="D29" i="3"/>
  <c r="E29" i="3"/>
  <c r="F29" i="3"/>
  <c r="G29" i="3" s="1"/>
  <c r="H29" i="3" s="1"/>
  <c r="B30" i="3"/>
  <c r="C30" i="3"/>
  <c r="D30" i="3"/>
  <c r="E30" i="3"/>
  <c r="F30" i="3"/>
  <c r="G30" i="3" s="1"/>
  <c r="H30" i="3" s="1"/>
  <c r="B31" i="3"/>
  <c r="C31" i="3"/>
  <c r="D31" i="3"/>
  <c r="E31" i="3"/>
  <c r="F31" i="3"/>
  <c r="G31" i="3" s="1"/>
  <c r="H31" i="3" s="1"/>
  <c r="B32" i="3"/>
  <c r="C32" i="3"/>
  <c r="D32" i="3"/>
  <c r="E32" i="3"/>
  <c r="F32" i="3"/>
  <c r="G32" i="3" s="1"/>
  <c r="H32" i="3" s="1"/>
  <c r="B33" i="3"/>
  <c r="C33" i="3"/>
  <c r="D33" i="3"/>
  <c r="E33" i="3"/>
  <c r="F33" i="3"/>
  <c r="G33" i="3" s="1"/>
  <c r="H33" i="3" s="1"/>
  <c r="B34" i="3"/>
  <c r="C34" i="3"/>
  <c r="D34" i="3"/>
  <c r="E34" i="3"/>
  <c r="F34" i="3"/>
  <c r="G34" i="3" s="1"/>
  <c r="H34" i="3" s="1"/>
  <c r="B35" i="3"/>
  <c r="C35" i="3"/>
  <c r="D35" i="3"/>
  <c r="E35" i="3"/>
  <c r="F35" i="3"/>
  <c r="G35" i="3" s="1"/>
  <c r="H35" i="3" s="1"/>
  <c r="B36" i="3"/>
  <c r="C36" i="3"/>
  <c r="D36" i="3"/>
  <c r="E36" i="3"/>
  <c r="F36" i="3"/>
  <c r="G36" i="3" s="1"/>
  <c r="H36" i="3" s="1"/>
  <c r="B37" i="3"/>
  <c r="C37" i="3"/>
  <c r="D37" i="3"/>
  <c r="E37" i="3"/>
  <c r="F37" i="3"/>
  <c r="G37" i="3" s="1"/>
  <c r="H37" i="3" s="1"/>
  <c r="B38" i="3"/>
  <c r="C38" i="3"/>
  <c r="D38" i="3"/>
  <c r="E38" i="3"/>
  <c r="F38" i="3"/>
  <c r="G38" i="3" s="1"/>
  <c r="H38" i="3" s="1"/>
  <c r="B39" i="3"/>
  <c r="C39" i="3"/>
  <c r="D39" i="3"/>
  <c r="E39" i="3"/>
  <c r="F39" i="3"/>
  <c r="G39" i="3" s="1"/>
  <c r="H39" i="3" s="1"/>
  <c r="B40" i="3"/>
  <c r="C40" i="3"/>
  <c r="D40" i="3"/>
  <c r="E40" i="3"/>
  <c r="F40" i="3"/>
  <c r="G40" i="3" s="1"/>
  <c r="H40" i="3" s="1"/>
  <c r="B41" i="3"/>
  <c r="C41" i="3"/>
  <c r="D41" i="3"/>
  <c r="E41" i="3"/>
  <c r="F41" i="3"/>
  <c r="G41" i="3" s="1"/>
  <c r="H41" i="3" s="1"/>
  <c r="B42" i="3"/>
  <c r="C42" i="3"/>
  <c r="D42" i="3"/>
  <c r="E42" i="3"/>
  <c r="F42" i="3"/>
  <c r="G42" i="3" s="1"/>
  <c r="H42" i="3" s="1"/>
  <c r="B43" i="3"/>
  <c r="C43" i="3"/>
  <c r="D43" i="3"/>
  <c r="E43" i="3"/>
  <c r="F43" i="3"/>
  <c r="G43" i="3" s="1"/>
  <c r="H43" i="3" s="1"/>
  <c r="B44" i="3"/>
  <c r="C44" i="3"/>
  <c r="D44" i="3"/>
  <c r="E44" i="3"/>
  <c r="F44" i="3"/>
  <c r="G44" i="3" s="1"/>
  <c r="H44" i="3" s="1"/>
  <c r="B45" i="3"/>
  <c r="C45" i="3"/>
  <c r="D45" i="3"/>
  <c r="E45" i="3"/>
  <c r="F45" i="3"/>
  <c r="G45" i="3" s="1"/>
  <c r="H45" i="3" s="1"/>
  <c r="B46" i="3"/>
  <c r="C46" i="3"/>
  <c r="D46" i="3"/>
  <c r="E46" i="3"/>
  <c r="F46" i="3"/>
  <c r="G46" i="3" s="1"/>
  <c r="H46" i="3" s="1"/>
  <c r="B47" i="3"/>
  <c r="C47" i="3"/>
  <c r="D47" i="3"/>
  <c r="E47" i="3"/>
  <c r="F47" i="3"/>
  <c r="G47" i="3" s="1"/>
  <c r="H47" i="3" s="1"/>
  <c r="B48" i="3"/>
  <c r="C48" i="3"/>
  <c r="D48" i="3"/>
  <c r="E48" i="3"/>
  <c r="F48" i="3"/>
  <c r="G48" i="3" s="1"/>
  <c r="H48" i="3" s="1"/>
  <c r="B49" i="3"/>
  <c r="C49" i="3"/>
  <c r="D49" i="3"/>
  <c r="E49" i="3"/>
  <c r="F49" i="3"/>
  <c r="G49" i="3" s="1"/>
  <c r="H49" i="3" s="1"/>
  <c r="B50" i="3"/>
  <c r="C50" i="3"/>
  <c r="D50" i="3"/>
  <c r="E50" i="3"/>
  <c r="F50" i="3"/>
  <c r="G50" i="3" s="1"/>
  <c r="H50" i="3" s="1"/>
  <c r="B51" i="3"/>
  <c r="C51" i="3"/>
  <c r="D51" i="3"/>
  <c r="E51" i="3"/>
  <c r="F51" i="3"/>
  <c r="G51" i="3" s="1"/>
  <c r="H51" i="3" s="1"/>
  <c r="B52" i="3"/>
  <c r="C52" i="3"/>
  <c r="D52" i="3"/>
  <c r="E52" i="3"/>
  <c r="F52" i="3"/>
  <c r="G52" i="3" s="1"/>
  <c r="H52" i="3" s="1"/>
  <c r="B53" i="3"/>
  <c r="C53" i="3"/>
  <c r="D53" i="3"/>
  <c r="E53" i="3"/>
  <c r="F53" i="3"/>
  <c r="G53" i="3" s="1"/>
  <c r="H53" i="3" s="1"/>
  <c r="B54" i="3"/>
  <c r="C54" i="3"/>
  <c r="D54" i="3"/>
  <c r="E54" i="3"/>
  <c r="F54" i="3"/>
  <c r="G54" i="3" s="1"/>
  <c r="H54" i="3" s="1"/>
  <c r="B55" i="3"/>
  <c r="C55" i="3"/>
  <c r="D55" i="3"/>
  <c r="E55" i="3"/>
  <c r="F55" i="3"/>
  <c r="G55" i="3" s="1"/>
  <c r="H55" i="3" s="1"/>
  <c r="B56" i="3"/>
  <c r="C56" i="3"/>
  <c r="D56" i="3"/>
  <c r="E56" i="3"/>
  <c r="F56" i="3"/>
  <c r="G56" i="3" s="1"/>
  <c r="H56" i="3" s="1"/>
  <c r="B57" i="3"/>
  <c r="C57" i="3"/>
  <c r="D57" i="3"/>
  <c r="E57" i="3"/>
  <c r="F57" i="3"/>
  <c r="G57" i="3" s="1"/>
  <c r="H57" i="3" s="1"/>
  <c r="B58" i="3"/>
  <c r="C58" i="3"/>
  <c r="D58" i="3"/>
  <c r="E58" i="3"/>
  <c r="F58" i="3"/>
  <c r="G58" i="3" s="1"/>
  <c r="H58" i="3" s="1"/>
  <c r="B59" i="3"/>
  <c r="C59" i="3"/>
  <c r="D59" i="3"/>
  <c r="E59" i="3"/>
  <c r="F59" i="3"/>
  <c r="G59" i="3" s="1"/>
  <c r="H59" i="3" s="1"/>
  <c r="B60" i="3"/>
  <c r="C60" i="3"/>
  <c r="D60" i="3"/>
  <c r="E60" i="3"/>
  <c r="F60" i="3"/>
  <c r="G60" i="3" s="1"/>
  <c r="H60" i="3" s="1"/>
  <c r="B61" i="3"/>
  <c r="C61" i="3"/>
  <c r="D61" i="3"/>
  <c r="E61" i="3"/>
  <c r="F61" i="3"/>
  <c r="G61" i="3" s="1"/>
  <c r="H61" i="3" s="1"/>
  <c r="B62" i="3"/>
  <c r="C62" i="3"/>
  <c r="D62" i="3"/>
  <c r="E62" i="3"/>
  <c r="F62" i="3"/>
  <c r="G62" i="3" s="1"/>
  <c r="H62" i="3" s="1"/>
  <c r="B63" i="3"/>
  <c r="C63" i="3"/>
  <c r="D63" i="3"/>
  <c r="E63" i="3"/>
  <c r="F63" i="3"/>
  <c r="G63" i="3" s="1"/>
  <c r="H63" i="3" s="1"/>
  <c r="B64" i="3"/>
  <c r="C64" i="3"/>
  <c r="D64" i="3"/>
  <c r="E64" i="3"/>
  <c r="F64" i="3"/>
  <c r="G64" i="3" s="1"/>
  <c r="H64" i="3" s="1"/>
  <c r="B65" i="3"/>
  <c r="C65" i="3"/>
  <c r="D65" i="3"/>
  <c r="E65" i="3"/>
  <c r="F65" i="3"/>
  <c r="G65" i="3" s="1"/>
  <c r="H65" i="3" s="1"/>
  <c r="B66" i="3"/>
  <c r="C66" i="3"/>
  <c r="D66" i="3"/>
  <c r="E66" i="3"/>
  <c r="F66" i="3"/>
  <c r="G66" i="3" s="1"/>
  <c r="H66" i="3" s="1"/>
  <c r="B67" i="3"/>
  <c r="C67" i="3"/>
  <c r="D67" i="3"/>
  <c r="E67" i="3"/>
  <c r="F67" i="3"/>
  <c r="G67" i="3" s="1"/>
  <c r="H67" i="3" s="1"/>
  <c r="B68" i="3"/>
  <c r="C68" i="3"/>
  <c r="D68" i="3"/>
  <c r="E68" i="3"/>
  <c r="F68" i="3"/>
  <c r="G68" i="3" s="1"/>
  <c r="H68" i="3" s="1"/>
  <c r="B69" i="3"/>
  <c r="C69" i="3"/>
  <c r="D69" i="3"/>
  <c r="E69" i="3"/>
  <c r="F69" i="3"/>
  <c r="G69" i="3" s="1"/>
  <c r="H69" i="3" s="1"/>
  <c r="B70" i="3"/>
  <c r="C70" i="3"/>
  <c r="D70" i="3"/>
  <c r="E70" i="3"/>
  <c r="F70" i="3"/>
  <c r="G70" i="3" s="1"/>
  <c r="H70" i="3" s="1"/>
  <c r="B71" i="3"/>
  <c r="C71" i="3"/>
  <c r="D71" i="3"/>
  <c r="E71" i="3"/>
  <c r="F71" i="3"/>
  <c r="G71" i="3" s="1"/>
  <c r="H71" i="3" s="1"/>
  <c r="B72" i="3"/>
  <c r="C72" i="3"/>
  <c r="D72" i="3"/>
  <c r="E72" i="3"/>
  <c r="F72" i="3"/>
  <c r="G72" i="3" s="1"/>
  <c r="H72" i="3" s="1"/>
  <c r="B73" i="3"/>
  <c r="C73" i="3"/>
  <c r="D73" i="3"/>
  <c r="E73" i="3"/>
  <c r="F73" i="3"/>
  <c r="G73" i="3" s="1"/>
  <c r="H73" i="3" s="1"/>
  <c r="B74" i="3"/>
  <c r="C74" i="3"/>
  <c r="D74" i="3"/>
  <c r="E74" i="3"/>
  <c r="F74" i="3"/>
  <c r="G74" i="3" s="1"/>
  <c r="H74" i="3" s="1"/>
  <c r="B75" i="3"/>
  <c r="C75" i="3"/>
  <c r="D75" i="3"/>
  <c r="E75" i="3"/>
  <c r="F75" i="3"/>
  <c r="G75" i="3" s="1"/>
  <c r="H75" i="3" s="1"/>
  <c r="B76" i="3"/>
  <c r="C76" i="3"/>
  <c r="D76" i="3"/>
  <c r="E76" i="3"/>
  <c r="F76" i="3"/>
  <c r="G76" i="3" s="1"/>
  <c r="H76" i="3" s="1"/>
  <c r="B77" i="3"/>
  <c r="C77" i="3"/>
  <c r="D77" i="3"/>
  <c r="E77" i="3"/>
  <c r="F77" i="3"/>
  <c r="G77" i="3" s="1"/>
  <c r="H77" i="3" s="1"/>
  <c r="B78" i="3"/>
  <c r="C78" i="3"/>
  <c r="D78" i="3"/>
  <c r="E78" i="3"/>
  <c r="F78" i="3"/>
  <c r="G78" i="3" s="1"/>
  <c r="H78" i="3" s="1"/>
  <c r="B79" i="3"/>
  <c r="C79" i="3"/>
  <c r="D79" i="3"/>
  <c r="E79" i="3"/>
  <c r="F79" i="3"/>
  <c r="G79" i="3" s="1"/>
  <c r="H79" i="3" s="1"/>
  <c r="B80" i="3"/>
  <c r="C80" i="3"/>
  <c r="D80" i="3"/>
  <c r="E80" i="3"/>
  <c r="F80" i="3"/>
  <c r="G80" i="3" s="1"/>
  <c r="H80" i="3" s="1"/>
  <c r="B81" i="3"/>
  <c r="C81" i="3"/>
  <c r="D81" i="3"/>
  <c r="E81" i="3"/>
  <c r="F81" i="3"/>
  <c r="G81" i="3" s="1"/>
  <c r="H81" i="3" s="1"/>
  <c r="B82" i="3"/>
  <c r="C82" i="3"/>
  <c r="D82" i="3"/>
  <c r="E82" i="3"/>
  <c r="F82" i="3"/>
  <c r="G82" i="3" s="1"/>
  <c r="H82" i="3" s="1"/>
  <c r="B83" i="3"/>
  <c r="C83" i="3"/>
  <c r="D83" i="3"/>
  <c r="E83" i="3"/>
  <c r="F83" i="3"/>
  <c r="G83" i="3" s="1"/>
  <c r="H83" i="3" s="1"/>
  <c r="B84" i="3"/>
  <c r="C84" i="3"/>
  <c r="D84" i="3"/>
  <c r="E84" i="3"/>
  <c r="F84" i="3"/>
  <c r="G84" i="3" s="1"/>
  <c r="H84" i="3" s="1"/>
  <c r="B85" i="3"/>
  <c r="C85" i="3"/>
  <c r="D85" i="3"/>
  <c r="E85" i="3"/>
  <c r="F85" i="3"/>
  <c r="G85" i="3" s="1"/>
  <c r="H85" i="3" s="1"/>
  <c r="B86" i="3"/>
  <c r="C86" i="3"/>
  <c r="D86" i="3"/>
  <c r="E86" i="3"/>
  <c r="F86" i="3"/>
  <c r="G86" i="3" s="1"/>
  <c r="H86" i="3" s="1"/>
  <c r="B87" i="3"/>
  <c r="C87" i="3"/>
  <c r="D87" i="3"/>
  <c r="E87" i="3"/>
  <c r="F87" i="3"/>
  <c r="G87" i="3" s="1"/>
  <c r="H87" i="3" s="1"/>
  <c r="B88" i="3"/>
  <c r="C88" i="3"/>
  <c r="D88" i="3"/>
  <c r="E88" i="3"/>
  <c r="F88" i="3"/>
  <c r="G88" i="3" s="1"/>
  <c r="H88" i="3" s="1"/>
  <c r="B89" i="3"/>
  <c r="C89" i="3"/>
  <c r="D89" i="3"/>
  <c r="E89" i="3"/>
  <c r="F89" i="3"/>
  <c r="G89" i="3" s="1"/>
  <c r="H89" i="3" s="1"/>
  <c r="B90" i="3"/>
  <c r="C90" i="3"/>
  <c r="D90" i="3"/>
  <c r="E90" i="3"/>
  <c r="F90" i="3"/>
  <c r="G90" i="3" s="1"/>
  <c r="H90" i="3" s="1"/>
  <c r="B91" i="3"/>
  <c r="C91" i="3"/>
  <c r="D91" i="3"/>
  <c r="E91" i="3"/>
  <c r="F91" i="3"/>
  <c r="G91" i="3" s="1"/>
  <c r="H91" i="3" s="1"/>
  <c r="B92" i="3"/>
  <c r="C92" i="3"/>
  <c r="D92" i="3"/>
  <c r="E92" i="3"/>
  <c r="F92" i="3"/>
  <c r="G92" i="3" s="1"/>
  <c r="H92" i="3" s="1"/>
  <c r="B93" i="3"/>
  <c r="C93" i="3"/>
  <c r="D93" i="3"/>
  <c r="E93" i="3"/>
  <c r="F93" i="3"/>
  <c r="G93" i="3" s="1"/>
  <c r="H93" i="3" s="1"/>
  <c r="B94" i="3"/>
  <c r="C94" i="3"/>
  <c r="D94" i="3"/>
  <c r="E94" i="3"/>
  <c r="F94" i="3"/>
  <c r="G94" i="3" s="1"/>
  <c r="H94" i="3" s="1"/>
  <c r="B95" i="3"/>
  <c r="C95" i="3"/>
  <c r="D95" i="3"/>
  <c r="E95" i="3"/>
  <c r="F95" i="3"/>
  <c r="G95" i="3" s="1"/>
  <c r="H95" i="3" s="1"/>
  <c r="B96" i="3"/>
  <c r="C96" i="3"/>
  <c r="D96" i="3"/>
  <c r="E96" i="3"/>
  <c r="F96" i="3"/>
  <c r="G96" i="3" s="1"/>
  <c r="H96" i="3" s="1"/>
  <c r="B97" i="3"/>
  <c r="C97" i="3"/>
  <c r="D97" i="3"/>
  <c r="E97" i="3"/>
  <c r="F97" i="3"/>
  <c r="G97" i="3" s="1"/>
  <c r="H97" i="3" s="1"/>
  <c r="B98" i="3"/>
  <c r="C98" i="3"/>
  <c r="D98" i="3"/>
  <c r="E98" i="3"/>
  <c r="F98" i="3"/>
  <c r="G98" i="3" s="1"/>
  <c r="H98" i="3" s="1"/>
  <c r="B99" i="3"/>
  <c r="C99" i="3"/>
  <c r="D99" i="3"/>
  <c r="E99" i="3"/>
  <c r="F99" i="3"/>
  <c r="G99" i="3" s="1"/>
  <c r="H99" i="3" s="1"/>
  <c r="B100" i="3"/>
  <c r="C100" i="3"/>
  <c r="D100" i="3"/>
  <c r="E100" i="3"/>
  <c r="F100" i="3"/>
  <c r="G100" i="3" s="1"/>
  <c r="H100" i="3" s="1"/>
  <c r="B101" i="3"/>
  <c r="C101" i="3"/>
  <c r="D101" i="3"/>
  <c r="E101" i="3"/>
  <c r="F101" i="3"/>
  <c r="G101" i="3" s="1"/>
  <c r="H101" i="3" s="1"/>
  <c r="B102" i="3"/>
  <c r="C102" i="3"/>
  <c r="D102" i="3"/>
  <c r="E102" i="3"/>
  <c r="F102" i="3"/>
  <c r="G102" i="3" s="1"/>
  <c r="H102" i="3" s="1"/>
  <c r="B103" i="3"/>
  <c r="C103" i="3"/>
  <c r="D103" i="3"/>
  <c r="E103" i="3"/>
  <c r="F103" i="3"/>
  <c r="G103" i="3" s="1"/>
  <c r="H103" i="3" s="1"/>
  <c r="B104" i="3"/>
  <c r="C104" i="3"/>
  <c r="D104" i="3"/>
  <c r="E104" i="3"/>
  <c r="F104" i="3"/>
  <c r="G104" i="3" s="1"/>
  <c r="H104" i="3" s="1"/>
  <c r="B105" i="3"/>
  <c r="C105" i="3"/>
  <c r="D105" i="3"/>
  <c r="E105" i="3"/>
  <c r="F105" i="3"/>
  <c r="G105" i="3" s="1"/>
  <c r="H105" i="3" s="1"/>
  <c r="B106" i="3"/>
  <c r="C106" i="3"/>
  <c r="D106" i="3"/>
  <c r="E106" i="3"/>
  <c r="F106" i="3"/>
  <c r="G106" i="3" s="1"/>
  <c r="H106" i="3" s="1"/>
  <c r="B107" i="3"/>
  <c r="C107" i="3"/>
  <c r="D107" i="3"/>
  <c r="E107" i="3"/>
  <c r="F107" i="3"/>
  <c r="G107" i="3" s="1"/>
  <c r="H107" i="3" s="1"/>
  <c r="B108" i="3"/>
  <c r="C108" i="3"/>
  <c r="D108" i="3"/>
  <c r="E108" i="3"/>
  <c r="F108" i="3"/>
  <c r="G108" i="3" s="1"/>
  <c r="H108" i="3" s="1"/>
  <c r="B109" i="3"/>
  <c r="C109" i="3"/>
  <c r="D109" i="3"/>
  <c r="E109" i="3"/>
  <c r="F109" i="3"/>
  <c r="G109" i="3" s="1"/>
  <c r="H109" i="3" s="1"/>
  <c r="B110" i="3"/>
  <c r="C110" i="3"/>
  <c r="D110" i="3"/>
  <c r="E110" i="3"/>
  <c r="F110" i="3"/>
  <c r="G110" i="3" s="1"/>
  <c r="H110" i="3" s="1"/>
  <c r="B111" i="3"/>
  <c r="C111" i="3"/>
  <c r="D111" i="3"/>
  <c r="E111" i="3"/>
  <c r="F111" i="3"/>
  <c r="G111" i="3" s="1"/>
  <c r="H111" i="3" s="1"/>
  <c r="B112" i="3"/>
  <c r="C112" i="3"/>
  <c r="D112" i="3"/>
  <c r="E112" i="3"/>
  <c r="F112" i="3"/>
  <c r="G112" i="3" s="1"/>
  <c r="H112" i="3" s="1"/>
  <c r="B113" i="3"/>
  <c r="C113" i="3"/>
  <c r="D113" i="3"/>
  <c r="E113" i="3"/>
  <c r="F113" i="3"/>
  <c r="G113" i="3" s="1"/>
  <c r="H113" i="3" s="1"/>
  <c r="B114" i="3"/>
  <c r="C114" i="3"/>
  <c r="D114" i="3"/>
  <c r="E114" i="3"/>
  <c r="F114" i="3"/>
  <c r="G114" i="3" s="1"/>
  <c r="H114" i="3" s="1"/>
  <c r="B115" i="3"/>
  <c r="C115" i="3"/>
  <c r="D115" i="3"/>
  <c r="E115" i="3"/>
  <c r="F115" i="3"/>
  <c r="G115" i="3" s="1"/>
  <c r="H115" i="3" s="1"/>
  <c r="B116" i="3"/>
  <c r="C116" i="3"/>
  <c r="D116" i="3"/>
  <c r="E116" i="3"/>
  <c r="F116" i="3"/>
  <c r="G116" i="3" s="1"/>
  <c r="H116" i="3" s="1"/>
  <c r="B117" i="3"/>
  <c r="C117" i="3"/>
  <c r="D117" i="3"/>
  <c r="E117" i="3"/>
  <c r="F117" i="3"/>
  <c r="G117" i="3" s="1"/>
  <c r="H117" i="3" s="1"/>
  <c r="B118" i="3"/>
  <c r="C118" i="3"/>
  <c r="D118" i="3"/>
  <c r="E118" i="3"/>
  <c r="F118" i="3"/>
  <c r="G118" i="3" s="1"/>
  <c r="H118" i="3" s="1"/>
  <c r="B119" i="3"/>
  <c r="C119" i="3"/>
  <c r="D119" i="3"/>
  <c r="E119" i="3"/>
  <c r="F119" i="3"/>
  <c r="G119" i="3" s="1"/>
  <c r="H119" i="3" s="1"/>
  <c r="B120" i="3"/>
  <c r="C120" i="3"/>
  <c r="D120" i="3"/>
  <c r="E120" i="3"/>
  <c r="F120" i="3"/>
  <c r="G120" i="3" s="1"/>
  <c r="H120" i="3" s="1"/>
  <c r="B121" i="3"/>
  <c r="C121" i="3"/>
  <c r="D121" i="3"/>
  <c r="E121" i="3"/>
  <c r="F121" i="3"/>
  <c r="G121" i="3" s="1"/>
  <c r="H121" i="3" s="1"/>
  <c r="B122" i="3"/>
  <c r="C122" i="3"/>
  <c r="D122" i="3"/>
  <c r="E122" i="3"/>
  <c r="F122" i="3"/>
  <c r="G122" i="3" s="1"/>
  <c r="H122" i="3" s="1"/>
  <c r="B123" i="3"/>
  <c r="C123" i="3"/>
  <c r="D123" i="3"/>
  <c r="E123" i="3"/>
  <c r="F123" i="3"/>
  <c r="G123" i="3" s="1"/>
  <c r="H123" i="3" s="1"/>
  <c r="B124" i="3"/>
  <c r="C124" i="3"/>
  <c r="D124" i="3"/>
  <c r="E124" i="3"/>
  <c r="F124" i="3"/>
  <c r="G124" i="3" s="1"/>
  <c r="H124" i="3" s="1"/>
  <c r="B125" i="3"/>
  <c r="C125" i="3"/>
  <c r="D125" i="3"/>
  <c r="E125" i="3"/>
  <c r="F125" i="3"/>
  <c r="G125" i="3" s="1"/>
  <c r="H125" i="3" s="1"/>
  <c r="B126" i="3"/>
  <c r="C126" i="3"/>
  <c r="D126" i="3"/>
  <c r="E126" i="3"/>
  <c r="F126" i="3"/>
  <c r="G126" i="3" s="1"/>
  <c r="H126" i="3" s="1"/>
  <c r="B127" i="3"/>
  <c r="C127" i="3"/>
  <c r="D127" i="3"/>
  <c r="E127" i="3"/>
  <c r="F127" i="3"/>
  <c r="G127" i="3" s="1"/>
  <c r="H127" i="3" s="1"/>
  <c r="B128" i="3"/>
  <c r="C128" i="3"/>
  <c r="D128" i="3"/>
  <c r="E128" i="3"/>
  <c r="F128" i="3"/>
  <c r="G128" i="3" s="1"/>
  <c r="H128" i="3" s="1"/>
  <c r="B129" i="3"/>
  <c r="C129" i="3"/>
  <c r="D129" i="3"/>
  <c r="E129" i="3"/>
  <c r="F129" i="3"/>
  <c r="G129" i="3" s="1"/>
  <c r="H129" i="3" s="1"/>
  <c r="B130" i="3"/>
  <c r="C130" i="3"/>
  <c r="D130" i="3"/>
  <c r="E130" i="3"/>
  <c r="F130" i="3"/>
  <c r="G130" i="3" s="1"/>
  <c r="H130" i="3" s="1"/>
  <c r="B131" i="3"/>
  <c r="C131" i="3"/>
  <c r="D131" i="3"/>
  <c r="E131" i="3"/>
  <c r="F131" i="3"/>
  <c r="G131" i="3" s="1"/>
  <c r="H131" i="3" s="1"/>
  <c r="B132" i="3"/>
  <c r="C132" i="3"/>
  <c r="D132" i="3"/>
  <c r="E132" i="3"/>
  <c r="F132" i="3"/>
  <c r="G132" i="3" s="1"/>
  <c r="H132" i="3" s="1"/>
  <c r="B133" i="3"/>
  <c r="C133" i="3"/>
  <c r="D133" i="3"/>
  <c r="E133" i="3"/>
  <c r="F133" i="3"/>
  <c r="G133" i="3" s="1"/>
  <c r="H133" i="3" s="1"/>
  <c r="B134" i="3"/>
  <c r="C134" i="3"/>
  <c r="D134" i="3"/>
  <c r="E134" i="3"/>
  <c r="F134" i="3"/>
  <c r="G134" i="3" s="1"/>
  <c r="H134" i="3" s="1"/>
  <c r="B135" i="3"/>
  <c r="C135" i="3"/>
  <c r="D135" i="3"/>
  <c r="E135" i="3"/>
  <c r="F135" i="3"/>
  <c r="G135" i="3" s="1"/>
  <c r="H135" i="3" s="1"/>
  <c r="B136" i="3"/>
  <c r="C136" i="3"/>
  <c r="D136" i="3"/>
  <c r="E136" i="3"/>
  <c r="F136" i="3"/>
  <c r="G136" i="3" s="1"/>
  <c r="H136" i="3" s="1"/>
  <c r="B137" i="3"/>
  <c r="C137" i="3"/>
  <c r="D137" i="3"/>
  <c r="E137" i="3"/>
  <c r="F137" i="3"/>
  <c r="G137" i="3" s="1"/>
  <c r="H137" i="3" s="1"/>
  <c r="B138" i="3"/>
  <c r="C138" i="3"/>
  <c r="D138" i="3"/>
  <c r="E138" i="3"/>
  <c r="F138" i="3"/>
  <c r="G138" i="3" s="1"/>
  <c r="H138" i="3" s="1"/>
  <c r="B139" i="3"/>
  <c r="C139" i="3"/>
  <c r="D139" i="3"/>
  <c r="E139" i="3"/>
  <c r="F139" i="3"/>
  <c r="G139" i="3" s="1"/>
  <c r="H139" i="3" s="1"/>
  <c r="B140" i="3"/>
  <c r="C140" i="3"/>
  <c r="D140" i="3"/>
  <c r="E140" i="3"/>
  <c r="F140" i="3"/>
  <c r="G140" i="3" s="1"/>
  <c r="H140" i="3" s="1"/>
  <c r="B141" i="3"/>
  <c r="C141" i="3"/>
  <c r="D141" i="3"/>
  <c r="E141" i="3"/>
  <c r="F141" i="3"/>
  <c r="G141" i="3" s="1"/>
  <c r="H141" i="3" s="1"/>
  <c r="B142" i="3"/>
  <c r="C142" i="3"/>
  <c r="D142" i="3"/>
  <c r="E142" i="3"/>
  <c r="F142" i="3"/>
  <c r="G142" i="3" s="1"/>
  <c r="H142" i="3" s="1"/>
  <c r="B143" i="3"/>
  <c r="C143" i="3"/>
  <c r="D143" i="3"/>
  <c r="E143" i="3"/>
  <c r="F143" i="3"/>
  <c r="G143" i="3" s="1"/>
  <c r="H143" i="3" s="1"/>
  <c r="B144" i="3"/>
  <c r="C144" i="3"/>
  <c r="D144" i="3"/>
  <c r="E144" i="3"/>
  <c r="F144" i="3"/>
  <c r="G144" i="3" s="1"/>
  <c r="H144" i="3" s="1"/>
  <c r="B145" i="3"/>
  <c r="C145" i="3"/>
  <c r="D145" i="3"/>
  <c r="E145" i="3"/>
  <c r="F145" i="3"/>
  <c r="G145" i="3" s="1"/>
  <c r="H145" i="3" s="1"/>
  <c r="B146" i="3"/>
  <c r="C146" i="3"/>
  <c r="D146" i="3"/>
  <c r="E146" i="3"/>
  <c r="F146" i="3"/>
  <c r="G146" i="3" s="1"/>
  <c r="H146" i="3" s="1"/>
  <c r="B147" i="3"/>
  <c r="C147" i="3"/>
  <c r="D147" i="3"/>
  <c r="E147" i="3"/>
  <c r="F147" i="3"/>
  <c r="G147" i="3" s="1"/>
  <c r="H147" i="3" s="1"/>
  <c r="B148" i="3"/>
  <c r="C148" i="3"/>
  <c r="D148" i="3"/>
  <c r="E148" i="3"/>
  <c r="F148" i="3"/>
  <c r="G148" i="3" s="1"/>
  <c r="H148" i="3" s="1"/>
  <c r="B149" i="3"/>
  <c r="C149" i="3"/>
  <c r="D149" i="3"/>
  <c r="E149" i="3"/>
  <c r="F149" i="3"/>
  <c r="G149" i="3" s="1"/>
  <c r="H149" i="3" s="1"/>
  <c r="B150" i="3"/>
  <c r="C150" i="3"/>
  <c r="D150" i="3"/>
  <c r="E150" i="3"/>
  <c r="F150" i="3"/>
  <c r="G150" i="3" s="1"/>
  <c r="H150" i="3" s="1"/>
  <c r="B151" i="3"/>
  <c r="C151" i="3"/>
  <c r="D151" i="3"/>
  <c r="E151" i="3"/>
  <c r="F151" i="3"/>
  <c r="G151" i="3" s="1"/>
  <c r="H151" i="3" s="1"/>
  <c r="B152" i="3"/>
  <c r="C152" i="3"/>
  <c r="D152" i="3"/>
  <c r="E152" i="3"/>
  <c r="F152" i="3"/>
  <c r="G152" i="3" s="1"/>
  <c r="H152" i="3" s="1"/>
  <c r="B153" i="3"/>
  <c r="C153" i="3"/>
  <c r="D153" i="3"/>
  <c r="E153" i="3"/>
  <c r="F153" i="3"/>
  <c r="G153" i="3" s="1"/>
  <c r="H153" i="3" s="1"/>
  <c r="B154" i="3"/>
  <c r="C154" i="3"/>
  <c r="D154" i="3"/>
  <c r="E154" i="3"/>
  <c r="F154" i="3"/>
  <c r="G154" i="3" s="1"/>
  <c r="H154" i="3" s="1"/>
  <c r="B155" i="3"/>
  <c r="C155" i="3"/>
  <c r="D155" i="3"/>
  <c r="E155" i="3"/>
  <c r="F155" i="3"/>
  <c r="G155" i="3" s="1"/>
  <c r="H155" i="3" s="1"/>
  <c r="B156" i="3"/>
  <c r="C156" i="3"/>
  <c r="D156" i="3"/>
  <c r="E156" i="3"/>
  <c r="F156" i="3"/>
  <c r="G156" i="3" s="1"/>
  <c r="H156" i="3" s="1"/>
  <c r="B157" i="3"/>
  <c r="C157" i="3"/>
  <c r="D157" i="3"/>
  <c r="E157" i="3"/>
  <c r="F157" i="3"/>
  <c r="G157" i="3" s="1"/>
  <c r="H157" i="3" s="1"/>
  <c r="B158" i="3"/>
  <c r="C158" i="3"/>
  <c r="D158" i="3"/>
  <c r="E158" i="3"/>
  <c r="F158" i="3"/>
  <c r="G158" i="3" s="1"/>
  <c r="H158" i="3" s="1"/>
  <c r="B159" i="3"/>
  <c r="C159" i="3"/>
  <c r="D159" i="3"/>
  <c r="E159" i="3"/>
  <c r="F159" i="3"/>
  <c r="G159" i="3" s="1"/>
  <c r="H159" i="3" s="1"/>
  <c r="B160" i="3"/>
  <c r="C160" i="3"/>
  <c r="D160" i="3"/>
  <c r="E160" i="3"/>
  <c r="F160" i="3"/>
  <c r="G160" i="3" s="1"/>
  <c r="H160" i="3" s="1"/>
  <c r="B161" i="3"/>
  <c r="C161" i="3"/>
  <c r="D161" i="3"/>
  <c r="E161" i="3"/>
  <c r="F161" i="3"/>
  <c r="G161" i="3" s="1"/>
  <c r="H161" i="3" s="1"/>
  <c r="B162" i="3"/>
  <c r="C162" i="3"/>
  <c r="D162" i="3"/>
  <c r="E162" i="3"/>
  <c r="F162" i="3"/>
  <c r="G162" i="3" s="1"/>
  <c r="H162" i="3" s="1"/>
  <c r="B163" i="3"/>
  <c r="C163" i="3"/>
  <c r="D163" i="3"/>
  <c r="E163" i="3"/>
  <c r="F163" i="3"/>
  <c r="G163" i="3" s="1"/>
  <c r="H163" i="3" s="1"/>
  <c r="B164" i="3"/>
  <c r="C164" i="3"/>
  <c r="D164" i="3"/>
  <c r="E164" i="3"/>
  <c r="F164" i="3"/>
  <c r="G164" i="3" s="1"/>
  <c r="H164" i="3" s="1"/>
  <c r="B165" i="3"/>
  <c r="C165" i="3"/>
  <c r="D165" i="3"/>
  <c r="E165" i="3"/>
  <c r="F165" i="3"/>
  <c r="G165" i="3" s="1"/>
  <c r="H165" i="3" s="1"/>
  <c r="B166" i="3"/>
  <c r="C166" i="3"/>
  <c r="D166" i="3"/>
  <c r="E166" i="3"/>
  <c r="F166" i="3"/>
  <c r="G166" i="3" s="1"/>
  <c r="H166" i="3" s="1"/>
  <c r="B167" i="3"/>
  <c r="C167" i="3"/>
  <c r="D167" i="3"/>
  <c r="E167" i="3"/>
  <c r="F167" i="3"/>
  <c r="G167" i="3" s="1"/>
  <c r="H167" i="3" s="1"/>
  <c r="B168" i="3"/>
  <c r="C168" i="3"/>
  <c r="D168" i="3"/>
  <c r="E168" i="3"/>
  <c r="F168" i="3"/>
  <c r="G168" i="3" s="1"/>
  <c r="H168" i="3" s="1"/>
  <c r="B169" i="3"/>
  <c r="C169" i="3"/>
  <c r="D169" i="3"/>
  <c r="E169" i="3"/>
  <c r="F169" i="3"/>
  <c r="G169" i="3" s="1"/>
  <c r="H169" i="3" s="1"/>
  <c r="B170" i="3"/>
  <c r="C170" i="3"/>
  <c r="D170" i="3"/>
  <c r="E170" i="3"/>
  <c r="F170" i="3"/>
  <c r="G170" i="3" s="1"/>
  <c r="H170" i="3" s="1"/>
  <c r="B171" i="3"/>
  <c r="C171" i="3"/>
  <c r="D171" i="3"/>
  <c r="E171" i="3"/>
  <c r="F171" i="3"/>
  <c r="G171" i="3" s="1"/>
  <c r="H171" i="3" s="1"/>
  <c r="B172" i="3"/>
  <c r="C172" i="3"/>
  <c r="D172" i="3"/>
  <c r="E172" i="3"/>
  <c r="F172" i="3"/>
  <c r="G172" i="3" s="1"/>
  <c r="H172" i="3" s="1"/>
  <c r="B173" i="3"/>
  <c r="C173" i="3"/>
  <c r="D173" i="3"/>
  <c r="E173" i="3"/>
  <c r="F173" i="3"/>
  <c r="G173" i="3" s="1"/>
  <c r="H173" i="3" s="1"/>
  <c r="B174" i="3"/>
  <c r="C174" i="3"/>
  <c r="D174" i="3"/>
  <c r="E174" i="3"/>
  <c r="F174" i="3"/>
  <c r="G174" i="3" s="1"/>
  <c r="H174" i="3" s="1"/>
  <c r="B175" i="3"/>
  <c r="C175" i="3"/>
  <c r="D175" i="3"/>
  <c r="E175" i="3"/>
  <c r="F175" i="3"/>
  <c r="G175" i="3" s="1"/>
  <c r="H175" i="3" s="1"/>
  <c r="B176" i="3"/>
  <c r="C176" i="3"/>
  <c r="D176" i="3"/>
  <c r="E176" i="3"/>
  <c r="F176" i="3"/>
  <c r="G176" i="3" s="1"/>
  <c r="H176" i="3" s="1"/>
  <c r="B177" i="3"/>
  <c r="C177" i="3"/>
  <c r="D177" i="3"/>
  <c r="E177" i="3"/>
  <c r="F177" i="3"/>
  <c r="G177" i="3" s="1"/>
  <c r="H177" i="3" s="1"/>
  <c r="B178" i="3"/>
  <c r="C178" i="3"/>
  <c r="D178" i="3"/>
  <c r="E178" i="3"/>
  <c r="F178" i="3"/>
  <c r="G178" i="3" s="1"/>
  <c r="H178" i="3" s="1"/>
  <c r="B179" i="3"/>
  <c r="C179" i="3"/>
  <c r="D179" i="3"/>
  <c r="E179" i="3"/>
  <c r="F179" i="3"/>
  <c r="G179" i="3" s="1"/>
  <c r="H179" i="3" s="1"/>
  <c r="B180" i="3"/>
  <c r="C180" i="3"/>
  <c r="D180" i="3"/>
  <c r="E180" i="3"/>
  <c r="F180" i="3"/>
  <c r="G180" i="3" s="1"/>
  <c r="H180" i="3" s="1"/>
  <c r="B181" i="3"/>
  <c r="C181" i="3"/>
  <c r="D181" i="3"/>
  <c r="E181" i="3"/>
  <c r="F181" i="3"/>
  <c r="G181" i="3" s="1"/>
  <c r="H181" i="3" s="1"/>
  <c r="B182" i="3"/>
  <c r="C182" i="3"/>
  <c r="D182" i="3"/>
  <c r="E182" i="3"/>
  <c r="F182" i="3"/>
  <c r="G182" i="3" s="1"/>
  <c r="H182" i="3" s="1"/>
  <c r="B183" i="3"/>
  <c r="C183" i="3"/>
  <c r="D183" i="3"/>
  <c r="E183" i="3"/>
  <c r="F183" i="3"/>
  <c r="G183" i="3" s="1"/>
  <c r="H183" i="3" s="1"/>
  <c r="B184" i="3"/>
  <c r="C184" i="3"/>
  <c r="D184" i="3"/>
  <c r="E184" i="3"/>
  <c r="F184" i="3"/>
  <c r="G184" i="3" s="1"/>
  <c r="H184" i="3" s="1"/>
  <c r="B185" i="3"/>
  <c r="C185" i="3"/>
  <c r="D185" i="3"/>
  <c r="E185" i="3"/>
  <c r="F185" i="3"/>
  <c r="G185" i="3" s="1"/>
  <c r="H185" i="3" s="1"/>
  <c r="B186" i="3"/>
  <c r="C186" i="3"/>
  <c r="D186" i="3"/>
  <c r="E186" i="3"/>
  <c r="F186" i="3"/>
  <c r="G186" i="3" s="1"/>
  <c r="H186" i="3" s="1"/>
  <c r="B187" i="3"/>
  <c r="C187" i="3"/>
  <c r="D187" i="3"/>
  <c r="E187" i="3"/>
  <c r="F187" i="3"/>
  <c r="G187" i="3" s="1"/>
  <c r="H187" i="3" s="1"/>
  <c r="B188" i="3"/>
  <c r="C188" i="3"/>
  <c r="D188" i="3"/>
  <c r="E188" i="3"/>
  <c r="F188" i="3"/>
  <c r="G188" i="3" s="1"/>
  <c r="H188" i="3" s="1"/>
  <c r="B189" i="3"/>
  <c r="C189" i="3"/>
  <c r="D189" i="3"/>
  <c r="E189" i="3"/>
  <c r="F189" i="3"/>
  <c r="G189" i="3" s="1"/>
  <c r="H189" i="3" s="1"/>
  <c r="B190" i="3"/>
  <c r="C190" i="3"/>
  <c r="D190" i="3"/>
  <c r="E190" i="3"/>
  <c r="F190" i="3"/>
  <c r="G190" i="3" s="1"/>
  <c r="H190" i="3" s="1"/>
  <c r="B191" i="3"/>
  <c r="C191" i="3"/>
  <c r="D191" i="3"/>
  <c r="E191" i="3"/>
  <c r="F191" i="3"/>
  <c r="G191" i="3" s="1"/>
  <c r="H191" i="3" s="1"/>
  <c r="B192" i="3"/>
  <c r="C192" i="3"/>
  <c r="D192" i="3"/>
  <c r="E192" i="3"/>
  <c r="F192" i="3"/>
  <c r="G192" i="3" s="1"/>
  <c r="H192" i="3" s="1"/>
  <c r="B193" i="3"/>
  <c r="C193" i="3"/>
  <c r="D193" i="3"/>
  <c r="E193" i="3"/>
  <c r="F193" i="3"/>
  <c r="G193" i="3" s="1"/>
  <c r="H193" i="3" s="1"/>
  <c r="B194" i="3"/>
  <c r="C194" i="3"/>
  <c r="D194" i="3"/>
  <c r="E194" i="3"/>
  <c r="F194" i="3"/>
  <c r="G194" i="3" s="1"/>
  <c r="H194" i="3" s="1"/>
  <c r="B195" i="3"/>
  <c r="C195" i="3"/>
  <c r="D195" i="3"/>
  <c r="E195" i="3"/>
  <c r="F195" i="3"/>
  <c r="G195" i="3" s="1"/>
  <c r="H195" i="3" s="1"/>
  <c r="B196" i="3"/>
  <c r="C196" i="3"/>
  <c r="D196" i="3"/>
  <c r="E196" i="3"/>
  <c r="F196" i="3"/>
  <c r="G196" i="3" s="1"/>
  <c r="H196" i="3" s="1"/>
  <c r="B197" i="3"/>
  <c r="C197" i="3"/>
  <c r="D197" i="3"/>
  <c r="E197" i="3"/>
  <c r="F197" i="3"/>
  <c r="G197" i="3" s="1"/>
  <c r="H197" i="3" s="1"/>
  <c r="A198" i="3"/>
  <c r="B198" i="3"/>
  <c r="C198" i="3"/>
  <c r="D198" i="3"/>
  <c r="E198" i="3"/>
  <c r="F198" i="3"/>
  <c r="G198" i="3" s="1"/>
  <c r="H198" i="3" s="1"/>
  <c r="A199" i="3"/>
  <c r="B199" i="3"/>
  <c r="C199" i="3"/>
  <c r="D199" i="3"/>
  <c r="E199" i="3"/>
  <c r="F199" i="3"/>
  <c r="G199" i="3" s="1"/>
  <c r="H199" i="3" s="1"/>
  <c r="A200" i="3"/>
  <c r="B200" i="3"/>
  <c r="C200" i="3"/>
  <c r="D200" i="3"/>
  <c r="E200" i="3"/>
  <c r="F200" i="3"/>
  <c r="G200" i="3" s="1"/>
  <c r="H200" i="3" s="1"/>
  <c r="A201" i="3"/>
  <c r="B201" i="3"/>
  <c r="C201" i="3"/>
  <c r="D201" i="3"/>
  <c r="E201" i="3"/>
  <c r="F201" i="3"/>
  <c r="G201" i="3" s="1"/>
  <c r="H201" i="3" s="1"/>
  <c r="A202" i="3"/>
  <c r="B202" i="3"/>
  <c r="C202" i="3"/>
  <c r="D202" i="3"/>
  <c r="E202" i="3"/>
  <c r="F202" i="3"/>
  <c r="G202" i="3" s="1"/>
  <c r="H202" i="3" s="1"/>
  <c r="A203" i="3"/>
  <c r="B203" i="3"/>
  <c r="C203" i="3"/>
  <c r="D203" i="3"/>
  <c r="E203" i="3"/>
  <c r="F203" i="3"/>
  <c r="G203" i="3" s="1"/>
  <c r="H203" i="3" s="1"/>
  <c r="A204" i="3"/>
  <c r="B204" i="3"/>
  <c r="C204" i="3"/>
  <c r="D204" i="3"/>
  <c r="E204" i="3"/>
  <c r="F204" i="3"/>
  <c r="G204" i="3" s="1"/>
  <c r="H204" i="3" s="1"/>
  <c r="A205" i="3"/>
  <c r="B205" i="3"/>
  <c r="C205" i="3"/>
  <c r="D205" i="3"/>
  <c r="E205" i="3"/>
  <c r="F205" i="3"/>
  <c r="G205" i="3" s="1"/>
  <c r="H205" i="3" s="1"/>
  <c r="A206" i="3"/>
  <c r="B206" i="3"/>
  <c r="C206" i="3"/>
  <c r="D206" i="3"/>
  <c r="E206" i="3"/>
  <c r="F206" i="3"/>
  <c r="G206" i="3" s="1"/>
  <c r="H206" i="3" s="1"/>
  <c r="A207" i="3"/>
  <c r="B207" i="3"/>
  <c r="C207" i="3"/>
  <c r="D207" i="3"/>
  <c r="E207" i="3"/>
  <c r="F207" i="3"/>
  <c r="G207" i="3" s="1"/>
  <c r="H207" i="3" s="1"/>
  <c r="A208" i="3"/>
  <c r="B208" i="3"/>
  <c r="C208" i="3"/>
  <c r="D208" i="3"/>
  <c r="E208" i="3"/>
  <c r="F208" i="3"/>
  <c r="G208" i="3" s="1"/>
  <c r="H208" i="3" s="1"/>
  <c r="A209" i="3"/>
  <c r="B209" i="3"/>
  <c r="C209" i="3"/>
  <c r="D209" i="3"/>
  <c r="E209" i="3"/>
  <c r="F209" i="3"/>
  <c r="G209" i="3" s="1"/>
  <c r="H209" i="3" s="1"/>
  <c r="A210" i="3"/>
  <c r="B210" i="3"/>
  <c r="C210" i="3"/>
  <c r="D210" i="3"/>
  <c r="E210" i="3"/>
  <c r="F210" i="3"/>
  <c r="G210" i="3" s="1"/>
  <c r="H210" i="3" s="1"/>
  <c r="A211" i="3"/>
  <c r="B211" i="3"/>
  <c r="C211" i="3"/>
  <c r="D211" i="3"/>
  <c r="E211" i="3"/>
  <c r="F211" i="3"/>
  <c r="G211" i="3" s="1"/>
  <c r="H211" i="3" s="1"/>
  <c r="A212" i="3"/>
  <c r="B212" i="3"/>
  <c r="C212" i="3"/>
  <c r="D212" i="3"/>
  <c r="E212" i="3"/>
  <c r="F212" i="3"/>
  <c r="G212" i="3" s="1"/>
  <c r="H212" i="3" s="1"/>
  <c r="A213" i="3"/>
  <c r="B213" i="3"/>
  <c r="C213" i="3"/>
  <c r="D213" i="3"/>
  <c r="E213" i="3"/>
  <c r="F213" i="3"/>
  <c r="G213" i="3" s="1"/>
  <c r="H213" i="3" s="1"/>
  <c r="A214" i="3"/>
  <c r="B214" i="3"/>
  <c r="C214" i="3"/>
  <c r="D214" i="3"/>
  <c r="E214" i="3"/>
  <c r="F214" i="3"/>
  <c r="G214" i="3" s="1"/>
  <c r="H214" i="3" s="1"/>
  <c r="A215" i="3"/>
  <c r="B215" i="3"/>
  <c r="C215" i="3"/>
  <c r="D215" i="3"/>
  <c r="E215" i="3"/>
  <c r="F215" i="3"/>
  <c r="G215" i="3" s="1"/>
  <c r="H215" i="3" s="1"/>
  <c r="A216" i="3"/>
  <c r="B216" i="3"/>
  <c r="C216" i="3"/>
  <c r="D216" i="3"/>
  <c r="E216" i="3"/>
  <c r="F216" i="3"/>
  <c r="A217" i="3"/>
  <c r="B217" i="3"/>
  <c r="C217" i="3"/>
  <c r="D217" i="3"/>
  <c r="E217" i="3"/>
  <c r="F217" i="3"/>
  <c r="G217" i="3" s="1"/>
  <c r="H217" i="3" s="1"/>
  <c r="A218" i="3"/>
  <c r="B218" i="3"/>
  <c r="C218" i="3"/>
  <c r="D218" i="3"/>
  <c r="E218" i="3"/>
  <c r="F218" i="3"/>
  <c r="G218" i="3" s="1"/>
  <c r="H218" i="3" s="1"/>
  <c r="A219" i="3"/>
  <c r="B219" i="3"/>
  <c r="C219" i="3"/>
  <c r="D219" i="3"/>
  <c r="E219" i="3"/>
  <c r="F219" i="3"/>
  <c r="G219" i="3" s="1"/>
  <c r="H219" i="3" s="1"/>
  <c r="A220" i="3"/>
  <c r="B220" i="3"/>
  <c r="C220" i="3"/>
  <c r="D220" i="3"/>
  <c r="E220" i="3"/>
  <c r="F220" i="3"/>
  <c r="G220" i="3" s="1"/>
  <c r="H220" i="3" s="1"/>
  <c r="A221" i="3"/>
  <c r="B221" i="3"/>
  <c r="C221" i="3"/>
  <c r="D221" i="3"/>
  <c r="E221" i="3"/>
  <c r="F221" i="3"/>
  <c r="G221" i="3" s="1"/>
  <c r="H221" i="3" s="1"/>
  <c r="A222" i="3"/>
  <c r="B222" i="3"/>
  <c r="C222" i="3"/>
  <c r="D222" i="3"/>
  <c r="E222" i="3"/>
  <c r="F222" i="3"/>
  <c r="G222" i="3" s="1"/>
  <c r="H222" i="3" s="1"/>
  <c r="A223" i="3"/>
  <c r="B223" i="3"/>
  <c r="C223" i="3"/>
  <c r="D223" i="3"/>
  <c r="E223" i="3"/>
  <c r="F223" i="3"/>
  <c r="G223" i="3" s="1"/>
  <c r="H223" i="3" s="1"/>
  <c r="A224" i="3"/>
  <c r="B224" i="3"/>
  <c r="C224" i="3"/>
  <c r="D224" i="3"/>
  <c r="E224" i="3"/>
  <c r="F224" i="3"/>
  <c r="G224" i="3" s="1"/>
  <c r="H224" i="3" s="1"/>
  <c r="A225" i="3"/>
  <c r="B225" i="3"/>
  <c r="C225" i="3"/>
  <c r="D225" i="3"/>
  <c r="E225" i="3"/>
  <c r="F225" i="3"/>
  <c r="G225" i="3" s="1"/>
  <c r="H225" i="3" s="1"/>
  <c r="A226" i="3"/>
  <c r="B226" i="3"/>
  <c r="C226" i="3"/>
  <c r="D226" i="3"/>
  <c r="E226" i="3"/>
  <c r="F226" i="3"/>
  <c r="G226" i="3" s="1"/>
  <c r="H226" i="3" s="1"/>
  <c r="A227" i="3"/>
  <c r="B227" i="3"/>
  <c r="C227" i="3"/>
  <c r="D227" i="3"/>
  <c r="E227" i="3"/>
  <c r="F227" i="3"/>
  <c r="G227" i="3" s="1"/>
  <c r="H227" i="3" s="1"/>
  <c r="A228" i="3"/>
  <c r="B228" i="3"/>
  <c r="C228" i="3"/>
  <c r="D228" i="3"/>
  <c r="E228" i="3"/>
  <c r="F228" i="3"/>
  <c r="G228" i="3" s="1"/>
  <c r="H228" i="3" s="1"/>
  <c r="A229" i="3"/>
  <c r="B229" i="3"/>
  <c r="C229" i="3"/>
  <c r="D229" i="3"/>
  <c r="E229" i="3"/>
  <c r="F229" i="3"/>
  <c r="G229" i="3" s="1"/>
  <c r="H229" i="3" s="1"/>
  <c r="A230" i="3"/>
  <c r="B230" i="3"/>
  <c r="C230" i="3"/>
  <c r="D230" i="3"/>
  <c r="E230" i="3"/>
  <c r="F230" i="3"/>
  <c r="G230" i="3" s="1"/>
  <c r="H230" i="3" s="1"/>
  <c r="A231" i="3"/>
  <c r="B231" i="3"/>
  <c r="C231" i="3"/>
  <c r="D231" i="3"/>
  <c r="E231" i="3"/>
  <c r="F231" i="3"/>
  <c r="G231" i="3" s="1"/>
  <c r="H231" i="3" s="1"/>
  <c r="A232" i="3"/>
  <c r="B232" i="3"/>
  <c r="C232" i="3"/>
  <c r="D232" i="3"/>
  <c r="E232" i="3"/>
  <c r="F232" i="3"/>
  <c r="G232" i="3" s="1"/>
  <c r="H232" i="3" s="1"/>
  <c r="A233" i="3"/>
  <c r="B233" i="3"/>
  <c r="C233" i="3"/>
  <c r="D233" i="3"/>
  <c r="E233" i="3"/>
  <c r="F233" i="3"/>
  <c r="G233" i="3" s="1"/>
  <c r="H233" i="3" s="1"/>
  <c r="A234" i="3"/>
  <c r="B234" i="3"/>
  <c r="C234" i="3"/>
  <c r="D234" i="3"/>
  <c r="E234" i="3"/>
  <c r="F234" i="3"/>
  <c r="G234" i="3" s="1"/>
  <c r="H234" i="3" s="1"/>
  <c r="A235" i="3"/>
  <c r="B235" i="3"/>
  <c r="C235" i="3"/>
  <c r="D235" i="3"/>
  <c r="E235" i="3"/>
  <c r="F235" i="3"/>
  <c r="G235" i="3" s="1"/>
  <c r="H235" i="3" s="1"/>
  <c r="A236" i="3"/>
  <c r="B236" i="3"/>
  <c r="C236" i="3"/>
  <c r="D236" i="3"/>
  <c r="E236" i="3"/>
  <c r="F236" i="3"/>
  <c r="G236" i="3" s="1"/>
  <c r="H236" i="3" s="1"/>
  <c r="A237" i="3"/>
  <c r="B237" i="3"/>
  <c r="C237" i="3"/>
  <c r="D237" i="3"/>
  <c r="E237" i="3"/>
  <c r="F237" i="3"/>
  <c r="G237" i="3" s="1"/>
  <c r="H237" i="3" s="1"/>
  <c r="A238" i="3"/>
  <c r="B238" i="3"/>
  <c r="C238" i="3"/>
  <c r="D238" i="3"/>
  <c r="E238" i="3"/>
  <c r="F238" i="3"/>
  <c r="G238" i="3" s="1"/>
  <c r="H238" i="3" s="1"/>
  <c r="A239" i="3"/>
  <c r="B239" i="3"/>
  <c r="C239" i="3"/>
  <c r="D239" i="3"/>
  <c r="E239" i="3"/>
  <c r="F239" i="3"/>
  <c r="G239" i="3" s="1"/>
  <c r="H239" i="3" s="1"/>
  <c r="A240" i="3"/>
  <c r="B240" i="3"/>
  <c r="C240" i="3"/>
  <c r="D240" i="3"/>
  <c r="E240" i="3"/>
  <c r="F240" i="3"/>
  <c r="G240" i="3" s="1"/>
  <c r="H240" i="3" s="1"/>
  <c r="A241" i="3"/>
  <c r="B241" i="3"/>
  <c r="C241" i="3"/>
  <c r="D241" i="3"/>
  <c r="E241" i="3"/>
  <c r="F241" i="3"/>
  <c r="G241" i="3" s="1"/>
  <c r="H241" i="3" s="1"/>
  <c r="A242" i="3"/>
  <c r="B242" i="3"/>
  <c r="C242" i="3"/>
  <c r="D242" i="3"/>
  <c r="E242" i="3"/>
  <c r="F242" i="3"/>
  <c r="G242" i="3" s="1"/>
  <c r="H242" i="3" s="1"/>
  <c r="A243" i="3"/>
  <c r="B243" i="3"/>
  <c r="C243" i="3"/>
  <c r="D243" i="3"/>
  <c r="E243" i="3"/>
  <c r="F243" i="3"/>
  <c r="G243" i="3" s="1"/>
  <c r="H243" i="3" s="1"/>
  <c r="A244" i="3"/>
  <c r="B244" i="3"/>
  <c r="C244" i="3"/>
  <c r="D244" i="3"/>
  <c r="E244" i="3"/>
  <c r="F244" i="3"/>
  <c r="G244" i="3" s="1"/>
  <c r="H244" i="3" s="1"/>
  <c r="A245" i="3"/>
  <c r="B245" i="3"/>
  <c r="C245" i="3"/>
  <c r="D245" i="3"/>
  <c r="E245" i="3"/>
  <c r="F245" i="3"/>
  <c r="A246" i="3"/>
  <c r="B246" i="3"/>
  <c r="C246" i="3"/>
  <c r="D246" i="3"/>
  <c r="E246" i="3"/>
  <c r="F246" i="3"/>
  <c r="G246" i="3" s="1"/>
  <c r="H246" i="3" s="1"/>
  <c r="A247" i="3"/>
  <c r="B247" i="3"/>
  <c r="C247" i="3"/>
  <c r="D247" i="3"/>
  <c r="E247" i="3"/>
  <c r="F247" i="3"/>
  <c r="G247" i="3" s="1"/>
  <c r="H247" i="3" s="1"/>
  <c r="A248" i="3"/>
  <c r="B248" i="3"/>
  <c r="C248" i="3"/>
  <c r="D248" i="3"/>
  <c r="E248" i="3"/>
  <c r="F248" i="3"/>
  <c r="G248" i="3" s="1"/>
  <c r="H248" i="3" s="1"/>
  <c r="A249" i="3"/>
  <c r="B249" i="3"/>
  <c r="C249" i="3"/>
  <c r="D249" i="3"/>
  <c r="E249" i="3"/>
  <c r="F249" i="3"/>
  <c r="G249" i="3" s="1"/>
  <c r="H249" i="3" s="1"/>
  <c r="A250" i="3"/>
  <c r="B250" i="3"/>
  <c r="C250" i="3"/>
  <c r="D250" i="3"/>
  <c r="E250" i="3"/>
  <c r="F250" i="3"/>
  <c r="G250" i="3" s="1"/>
  <c r="H250" i="3" s="1"/>
  <c r="A251" i="3"/>
  <c r="B251" i="3"/>
  <c r="C251" i="3"/>
  <c r="D251" i="3"/>
  <c r="E251" i="3"/>
  <c r="F251" i="3"/>
  <c r="G251" i="3" s="1"/>
  <c r="H251" i="3" s="1"/>
  <c r="A252" i="3"/>
  <c r="B252" i="3"/>
  <c r="C252" i="3"/>
  <c r="D252" i="3"/>
  <c r="E252" i="3"/>
  <c r="F252" i="3"/>
  <c r="G252" i="3" s="1"/>
  <c r="H252" i="3" s="1"/>
  <c r="A253" i="3"/>
  <c r="B253" i="3"/>
  <c r="C253" i="3"/>
  <c r="D253" i="3"/>
  <c r="E253" i="3"/>
  <c r="F253" i="3"/>
  <c r="G253" i="3" s="1"/>
  <c r="H253" i="3" s="1"/>
  <c r="A254" i="3"/>
  <c r="B254" i="3"/>
  <c r="C254" i="3"/>
  <c r="D254" i="3"/>
  <c r="E254" i="3"/>
  <c r="F254" i="3"/>
  <c r="G254" i="3" s="1"/>
  <c r="H254" i="3" s="1"/>
  <c r="A255" i="3"/>
  <c r="B255" i="3"/>
  <c r="C255" i="3"/>
  <c r="D255" i="3"/>
  <c r="E255" i="3"/>
  <c r="F255" i="3"/>
  <c r="G255" i="3" s="1"/>
  <c r="H255" i="3" s="1"/>
  <c r="A256" i="3"/>
  <c r="B256" i="3"/>
  <c r="C256" i="3"/>
  <c r="D256" i="3"/>
  <c r="E256" i="3"/>
  <c r="F256" i="3"/>
  <c r="G256" i="3" s="1"/>
  <c r="H256" i="3" s="1"/>
  <c r="A257" i="3"/>
  <c r="B257" i="3"/>
  <c r="C257" i="3"/>
  <c r="D257" i="3"/>
  <c r="E257" i="3"/>
  <c r="F257" i="3"/>
  <c r="G257" i="3" s="1"/>
  <c r="H257" i="3" s="1"/>
  <c r="A258" i="3"/>
  <c r="B258" i="3"/>
  <c r="C258" i="3"/>
  <c r="D258" i="3"/>
  <c r="E258" i="3"/>
  <c r="F258" i="3"/>
  <c r="G258" i="3" s="1"/>
  <c r="H258" i="3" s="1"/>
  <c r="A259" i="3"/>
  <c r="B259" i="3"/>
  <c r="C259" i="3"/>
  <c r="D259" i="3"/>
  <c r="E259" i="3"/>
  <c r="F259" i="3"/>
  <c r="G259" i="3" s="1"/>
  <c r="H259" i="3" s="1"/>
  <c r="A260" i="3"/>
  <c r="B260" i="3"/>
  <c r="C260" i="3"/>
  <c r="D260" i="3"/>
  <c r="E260" i="3"/>
  <c r="F260" i="3"/>
  <c r="G260" i="3" s="1"/>
  <c r="H260" i="3" s="1"/>
  <c r="A261" i="3"/>
  <c r="B261" i="3"/>
  <c r="C261" i="3"/>
  <c r="D261" i="3"/>
  <c r="E261" i="3"/>
  <c r="F261" i="3"/>
  <c r="G261" i="3" s="1"/>
  <c r="H261" i="3" s="1"/>
  <c r="A262" i="3"/>
  <c r="B262" i="3"/>
  <c r="C262" i="3"/>
  <c r="D262" i="3"/>
  <c r="E262" i="3"/>
  <c r="F262" i="3"/>
  <c r="G262" i="3" s="1"/>
  <c r="H262" i="3" s="1"/>
  <c r="A263" i="3"/>
  <c r="B263" i="3"/>
  <c r="C263" i="3"/>
  <c r="D263" i="3"/>
  <c r="E263" i="3"/>
  <c r="F263" i="3"/>
  <c r="G263" i="3" s="1"/>
  <c r="H263" i="3" s="1"/>
  <c r="A264" i="3"/>
  <c r="B264" i="3"/>
  <c r="C264" i="3"/>
  <c r="D264" i="3"/>
  <c r="E264" i="3"/>
  <c r="F264" i="3"/>
  <c r="G264" i="3" s="1"/>
  <c r="H264" i="3" s="1"/>
  <c r="A265" i="3"/>
  <c r="B265" i="3"/>
  <c r="C265" i="3"/>
  <c r="D265" i="3"/>
  <c r="E265" i="3"/>
  <c r="F265" i="3"/>
  <c r="G265" i="3" s="1"/>
  <c r="H265" i="3" s="1"/>
  <c r="A266" i="3"/>
  <c r="B266" i="3"/>
  <c r="C266" i="3"/>
  <c r="D266" i="3"/>
  <c r="E266" i="3"/>
  <c r="F266" i="3"/>
  <c r="G266" i="3" s="1"/>
  <c r="H266" i="3" s="1"/>
  <c r="A267" i="3"/>
  <c r="B267" i="3"/>
  <c r="C267" i="3"/>
  <c r="D267" i="3"/>
  <c r="E267" i="3"/>
  <c r="F267" i="3"/>
  <c r="G267" i="3" s="1"/>
  <c r="H267" i="3" s="1"/>
  <c r="A268" i="3"/>
  <c r="B268" i="3"/>
  <c r="C268" i="3"/>
  <c r="D268" i="3"/>
  <c r="E268" i="3"/>
  <c r="F268" i="3"/>
  <c r="G268" i="3" s="1"/>
  <c r="H268" i="3" s="1"/>
  <c r="A269" i="3"/>
  <c r="B269" i="3"/>
  <c r="C269" i="3"/>
  <c r="D269" i="3"/>
  <c r="E269" i="3"/>
  <c r="F269" i="3"/>
  <c r="G269" i="3" s="1"/>
  <c r="H269" i="3" s="1"/>
  <c r="A270" i="3"/>
  <c r="B270" i="3"/>
  <c r="C270" i="3"/>
  <c r="D270" i="3"/>
  <c r="E270" i="3"/>
  <c r="F270" i="3"/>
  <c r="G270" i="3" s="1"/>
  <c r="H270" i="3" s="1"/>
  <c r="A271" i="3"/>
  <c r="B271" i="3"/>
  <c r="C271" i="3"/>
  <c r="D271" i="3"/>
  <c r="E271" i="3"/>
  <c r="F271" i="3"/>
  <c r="G271" i="3" s="1"/>
  <c r="H271" i="3" s="1"/>
  <c r="A272" i="3"/>
  <c r="B272" i="3"/>
  <c r="C272" i="3"/>
  <c r="D272" i="3"/>
  <c r="E272" i="3"/>
  <c r="F272" i="3"/>
  <c r="G272" i="3" s="1"/>
  <c r="H272" i="3" s="1"/>
  <c r="A273" i="3"/>
  <c r="B273" i="3"/>
  <c r="C273" i="3"/>
  <c r="D273" i="3"/>
  <c r="E273" i="3"/>
  <c r="F273" i="3"/>
  <c r="A274" i="3"/>
  <c r="B274" i="3"/>
  <c r="C274" i="3"/>
  <c r="D274" i="3"/>
  <c r="E274" i="3"/>
  <c r="F274" i="3"/>
  <c r="G274" i="3" s="1"/>
  <c r="H274" i="3" s="1"/>
  <c r="A275" i="3"/>
  <c r="B275" i="3"/>
  <c r="C275" i="3"/>
  <c r="D275" i="3"/>
  <c r="E275" i="3"/>
  <c r="F275" i="3"/>
  <c r="G275" i="3" s="1"/>
  <c r="H275" i="3" s="1"/>
  <c r="A276" i="3"/>
  <c r="B276" i="3"/>
  <c r="C276" i="3"/>
  <c r="D276" i="3"/>
  <c r="E276" i="3"/>
  <c r="F276" i="3"/>
  <c r="G276" i="3" s="1"/>
  <c r="H276" i="3" s="1"/>
  <c r="A277" i="3"/>
  <c r="B277" i="3"/>
  <c r="C277" i="3"/>
  <c r="D277" i="3"/>
  <c r="E277" i="3"/>
  <c r="F277" i="3"/>
  <c r="G277" i="3" s="1"/>
  <c r="H277" i="3" s="1"/>
  <c r="A278" i="3"/>
  <c r="B278" i="3"/>
  <c r="C278" i="3"/>
  <c r="D278" i="3"/>
  <c r="E278" i="3"/>
  <c r="F278" i="3"/>
  <c r="G278" i="3" s="1"/>
  <c r="H278" i="3" s="1"/>
  <c r="A279" i="3"/>
  <c r="B279" i="3"/>
  <c r="C279" i="3"/>
  <c r="D279" i="3"/>
  <c r="E279" i="3"/>
  <c r="F279" i="3"/>
  <c r="G279" i="3" s="1"/>
  <c r="H279" i="3" s="1"/>
  <c r="A280" i="3"/>
  <c r="B280" i="3"/>
  <c r="C280" i="3"/>
  <c r="D280" i="3"/>
  <c r="E280" i="3"/>
  <c r="F280" i="3"/>
  <c r="G280" i="3" s="1"/>
  <c r="H280" i="3" s="1"/>
  <c r="A281" i="3"/>
  <c r="B281" i="3"/>
  <c r="C281" i="3"/>
  <c r="D281" i="3"/>
  <c r="E281" i="3"/>
  <c r="F281" i="3"/>
  <c r="G281" i="3" s="1"/>
  <c r="H281" i="3" s="1"/>
  <c r="A282" i="3"/>
  <c r="B282" i="3"/>
  <c r="C282" i="3"/>
  <c r="D282" i="3"/>
  <c r="E282" i="3"/>
  <c r="F282" i="3"/>
  <c r="G282" i="3" s="1"/>
  <c r="H282" i="3" s="1"/>
  <c r="A283" i="3"/>
  <c r="B283" i="3"/>
  <c r="C283" i="3"/>
  <c r="D283" i="3"/>
  <c r="E283" i="3"/>
  <c r="F283" i="3"/>
  <c r="G283" i="3" s="1"/>
  <c r="H283" i="3" s="1"/>
  <c r="A284" i="3"/>
  <c r="B284" i="3"/>
  <c r="C284" i="3"/>
  <c r="D284" i="3"/>
  <c r="E284" i="3"/>
  <c r="F284" i="3"/>
  <c r="G284" i="3" s="1"/>
  <c r="H284" i="3" s="1"/>
  <c r="A285" i="3"/>
  <c r="B285" i="3"/>
  <c r="C285" i="3"/>
  <c r="D285" i="3"/>
  <c r="E285" i="3"/>
  <c r="F285" i="3"/>
  <c r="G285" i="3" s="1"/>
  <c r="H285" i="3" s="1"/>
  <c r="A286" i="3"/>
  <c r="B286" i="3"/>
  <c r="C286" i="3"/>
  <c r="D286" i="3"/>
  <c r="E286" i="3"/>
  <c r="F286" i="3"/>
  <c r="G286" i="3" s="1"/>
  <c r="H286" i="3" s="1"/>
  <c r="A287" i="3"/>
  <c r="B287" i="3"/>
  <c r="C287" i="3"/>
  <c r="D287" i="3"/>
  <c r="E287" i="3"/>
  <c r="F287" i="3"/>
  <c r="G287" i="3" s="1"/>
  <c r="H287" i="3" s="1"/>
  <c r="A288" i="3"/>
  <c r="B288" i="3"/>
  <c r="C288" i="3"/>
  <c r="D288" i="3"/>
  <c r="E288" i="3"/>
  <c r="F288" i="3"/>
  <c r="G288" i="3" s="1"/>
  <c r="H288" i="3" s="1"/>
  <c r="A289" i="3"/>
  <c r="B289" i="3"/>
  <c r="C289" i="3"/>
  <c r="D289" i="3"/>
  <c r="E289" i="3"/>
  <c r="F289" i="3"/>
  <c r="G289" i="3" s="1"/>
  <c r="H289" i="3" s="1"/>
  <c r="A290" i="3"/>
  <c r="B290" i="3"/>
  <c r="C290" i="3"/>
  <c r="D290" i="3"/>
  <c r="E290" i="3"/>
  <c r="F290" i="3"/>
  <c r="G290" i="3" s="1"/>
  <c r="H290" i="3" s="1"/>
  <c r="A291" i="3"/>
  <c r="B291" i="3"/>
  <c r="C291" i="3"/>
  <c r="D291" i="3"/>
  <c r="E291" i="3"/>
  <c r="F291" i="3"/>
  <c r="G291" i="3" s="1"/>
  <c r="H291" i="3" s="1"/>
  <c r="A292" i="3"/>
  <c r="B292" i="3"/>
  <c r="C292" i="3"/>
  <c r="D292" i="3"/>
  <c r="E292" i="3"/>
  <c r="F292" i="3"/>
  <c r="G292" i="3" s="1"/>
  <c r="H292" i="3" s="1"/>
  <c r="A293" i="3"/>
  <c r="B293" i="3"/>
  <c r="C293" i="3"/>
  <c r="D293" i="3"/>
  <c r="E293" i="3"/>
  <c r="F293" i="3"/>
  <c r="G293" i="3" s="1"/>
  <c r="H293" i="3" s="1"/>
  <c r="A294" i="3"/>
  <c r="B294" i="3"/>
  <c r="C294" i="3"/>
  <c r="D294" i="3"/>
  <c r="E294" i="3"/>
  <c r="F294" i="3"/>
  <c r="G294" i="3" s="1"/>
  <c r="H294" i="3" s="1"/>
  <c r="A295" i="3"/>
  <c r="B295" i="3"/>
  <c r="C295" i="3"/>
  <c r="D295" i="3"/>
  <c r="E295" i="3"/>
  <c r="F295" i="3"/>
  <c r="G295" i="3" s="1"/>
  <c r="H295" i="3" s="1"/>
  <c r="A296" i="3"/>
  <c r="B296" i="3"/>
  <c r="C296" i="3"/>
  <c r="D296" i="3"/>
  <c r="E296" i="3"/>
  <c r="F296" i="3"/>
  <c r="G296" i="3" s="1"/>
  <c r="H296" i="3" s="1"/>
  <c r="A297" i="3"/>
  <c r="B297" i="3"/>
  <c r="C297" i="3"/>
  <c r="D297" i="3"/>
  <c r="E297" i="3"/>
  <c r="F297" i="3"/>
  <c r="G297" i="3" s="1"/>
  <c r="H297" i="3" s="1"/>
  <c r="A298" i="3"/>
  <c r="B298" i="3"/>
  <c r="C298" i="3"/>
  <c r="D298" i="3"/>
  <c r="E298" i="3"/>
  <c r="F298" i="3"/>
  <c r="G298" i="3" s="1"/>
  <c r="H298" i="3" s="1"/>
  <c r="A299" i="3"/>
  <c r="B299" i="3"/>
  <c r="C299" i="3"/>
  <c r="D299" i="3"/>
  <c r="E299" i="3"/>
  <c r="F299" i="3"/>
  <c r="G299" i="3" s="1"/>
  <c r="H299" i="3" s="1"/>
  <c r="A300" i="3"/>
  <c r="B300" i="3"/>
  <c r="C300" i="3"/>
  <c r="D300" i="3"/>
  <c r="E300" i="3"/>
  <c r="F300" i="3"/>
  <c r="G300" i="3" s="1"/>
  <c r="H300" i="3" s="1"/>
  <c r="A301" i="3"/>
  <c r="B301" i="3"/>
  <c r="C301" i="3"/>
  <c r="D301" i="3"/>
  <c r="E301" i="3"/>
  <c r="F301" i="3"/>
  <c r="G301" i="3" s="1"/>
  <c r="H301" i="3" s="1"/>
  <c r="A302" i="3"/>
  <c r="B302" i="3"/>
  <c r="C302" i="3"/>
  <c r="D302" i="3"/>
  <c r="E302" i="3"/>
  <c r="F302" i="3"/>
  <c r="G302" i="3" s="1"/>
  <c r="H302" i="3" s="1"/>
  <c r="A303" i="3"/>
  <c r="B303" i="3"/>
  <c r="C303" i="3"/>
  <c r="D303" i="3"/>
  <c r="E303" i="3"/>
  <c r="F303" i="3"/>
  <c r="G303" i="3" s="1"/>
  <c r="H303" i="3" s="1"/>
  <c r="A304" i="3"/>
  <c r="B304" i="3"/>
  <c r="C304" i="3"/>
  <c r="D304" i="3"/>
  <c r="E304" i="3"/>
  <c r="F304" i="3"/>
  <c r="G304" i="3" s="1"/>
  <c r="H304" i="3" s="1"/>
  <c r="A305" i="3"/>
  <c r="B305" i="3"/>
  <c r="C305" i="3"/>
  <c r="D305" i="3"/>
  <c r="E305" i="3"/>
  <c r="F305" i="3"/>
  <c r="G305" i="3" s="1"/>
  <c r="H305" i="3" s="1"/>
  <c r="A306" i="3"/>
  <c r="B306" i="3"/>
  <c r="C306" i="3"/>
  <c r="D306" i="3"/>
  <c r="E306" i="3"/>
  <c r="F306" i="3"/>
  <c r="G306" i="3" s="1"/>
  <c r="H306" i="3" s="1"/>
  <c r="A307" i="3"/>
  <c r="B307" i="3"/>
  <c r="C307" i="3"/>
  <c r="D307" i="3"/>
  <c r="E307" i="3"/>
  <c r="F307" i="3"/>
  <c r="G307" i="3" s="1"/>
  <c r="H307" i="3" s="1"/>
  <c r="A308" i="3"/>
  <c r="B308" i="3"/>
  <c r="C308" i="3"/>
  <c r="D308" i="3"/>
  <c r="E308" i="3"/>
  <c r="F308" i="3"/>
  <c r="G308" i="3" s="1"/>
  <c r="H308" i="3" s="1"/>
  <c r="A309" i="3"/>
  <c r="B309" i="3"/>
  <c r="C309" i="3"/>
  <c r="D309" i="3"/>
  <c r="E309" i="3"/>
  <c r="F309" i="3"/>
  <c r="G309" i="3" s="1"/>
  <c r="H309" i="3" s="1"/>
  <c r="A310" i="3"/>
  <c r="B310" i="3"/>
  <c r="C310" i="3"/>
  <c r="D310" i="3"/>
  <c r="E310" i="3"/>
  <c r="F310" i="3"/>
  <c r="G310" i="3" s="1"/>
  <c r="H310" i="3" s="1"/>
  <c r="A311" i="3"/>
  <c r="B311" i="3"/>
  <c r="C311" i="3"/>
  <c r="D311" i="3"/>
  <c r="E311" i="3"/>
  <c r="F311" i="3"/>
  <c r="G311" i="3" s="1"/>
  <c r="H311" i="3" s="1"/>
  <c r="A312" i="3"/>
  <c r="B312" i="3"/>
  <c r="C312" i="3"/>
  <c r="D312" i="3"/>
  <c r="E312" i="3"/>
  <c r="F312" i="3"/>
  <c r="G312" i="3" s="1"/>
  <c r="H312" i="3" s="1"/>
  <c r="A313" i="3"/>
  <c r="B313" i="3"/>
  <c r="C313" i="3"/>
  <c r="D313" i="3"/>
  <c r="E313" i="3"/>
  <c r="F313" i="3"/>
  <c r="G313" i="3" s="1"/>
  <c r="H313" i="3" s="1"/>
  <c r="A314" i="3"/>
  <c r="B314" i="3"/>
  <c r="C314" i="3"/>
  <c r="D314" i="3"/>
  <c r="E314" i="3"/>
  <c r="F314" i="3"/>
  <c r="G314" i="3" s="1"/>
  <c r="H314" i="3" s="1"/>
  <c r="A315" i="3"/>
  <c r="B315" i="3"/>
  <c r="C315" i="3"/>
  <c r="D315" i="3"/>
  <c r="E315" i="3"/>
  <c r="F315" i="3"/>
  <c r="G315" i="3" s="1"/>
  <c r="H315" i="3" s="1"/>
  <c r="A316" i="3"/>
  <c r="B316" i="3"/>
  <c r="C316" i="3"/>
  <c r="D316" i="3"/>
  <c r="E316" i="3"/>
  <c r="F316" i="3"/>
  <c r="G316" i="3" s="1"/>
  <c r="H316" i="3" s="1"/>
  <c r="A317" i="3"/>
  <c r="B317" i="3"/>
  <c r="C317" i="3"/>
  <c r="D317" i="3"/>
  <c r="E317" i="3"/>
  <c r="F317" i="3"/>
  <c r="G317" i="3" s="1"/>
  <c r="H317" i="3" s="1"/>
  <c r="A318" i="3"/>
  <c r="B318" i="3"/>
  <c r="C318" i="3"/>
  <c r="D318" i="3"/>
  <c r="E318" i="3"/>
  <c r="F318" i="3"/>
  <c r="G318" i="3" s="1"/>
  <c r="H318" i="3" s="1"/>
  <c r="A319" i="3"/>
  <c r="B319" i="3"/>
  <c r="C319" i="3"/>
  <c r="D319" i="3"/>
  <c r="E319" i="3"/>
  <c r="F319" i="3"/>
  <c r="G319" i="3" s="1"/>
  <c r="H319" i="3" s="1"/>
  <c r="A320" i="3"/>
  <c r="B320" i="3"/>
  <c r="C320" i="3"/>
  <c r="D320" i="3"/>
  <c r="E320" i="3"/>
  <c r="F320" i="3"/>
  <c r="G320" i="3" s="1"/>
  <c r="H320" i="3" s="1"/>
  <c r="A321" i="3"/>
  <c r="B321" i="3"/>
  <c r="C321" i="3"/>
  <c r="D321" i="3"/>
  <c r="E321" i="3"/>
  <c r="F321" i="3"/>
  <c r="G321" i="3" s="1"/>
  <c r="H321" i="3" s="1"/>
  <c r="A322" i="3"/>
  <c r="B322" i="3"/>
  <c r="C322" i="3"/>
  <c r="D322" i="3"/>
  <c r="E322" i="3"/>
  <c r="F322" i="3"/>
  <c r="G322" i="3" s="1"/>
  <c r="H322" i="3" s="1"/>
  <c r="A323" i="3"/>
  <c r="B323" i="3"/>
  <c r="C323" i="3"/>
  <c r="D323" i="3"/>
  <c r="E323" i="3"/>
  <c r="F323" i="3"/>
  <c r="G323" i="3" s="1"/>
  <c r="H323" i="3" s="1"/>
  <c r="A324" i="3"/>
  <c r="B324" i="3"/>
  <c r="C324" i="3"/>
  <c r="D324" i="3"/>
  <c r="E324" i="3"/>
  <c r="F324" i="3"/>
  <c r="G324" i="3" s="1"/>
  <c r="H324" i="3" s="1"/>
  <c r="A325" i="3"/>
  <c r="B325" i="3"/>
  <c r="C325" i="3"/>
  <c r="D325" i="3"/>
  <c r="E325" i="3"/>
  <c r="F325" i="3"/>
  <c r="G325" i="3" s="1"/>
  <c r="H325" i="3" s="1"/>
  <c r="A326" i="3"/>
  <c r="B326" i="3"/>
  <c r="C326" i="3"/>
  <c r="D326" i="3"/>
  <c r="E326" i="3"/>
  <c r="F326" i="3"/>
  <c r="G326" i="3" s="1"/>
  <c r="H326" i="3" s="1"/>
  <c r="A327" i="3"/>
  <c r="B327" i="3"/>
  <c r="C327" i="3"/>
  <c r="D327" i="3"/>
  <c r="E327" i="3"/>
  <c r="F327" i="3"/>
  <c r="G327" i="3" s="1"/>
  <c r="H327" i="3" s="1"/>
  <c r="A328" i="3"/>
  <c r="B328" i="3"/>
  <c r="C328" i="3"/>
  <c r="D328" i="3"/>
  <c r="E328" i="3"/>
  <c r="F328" i="3"/>
  <c r="G328" i="3" s="1"/>
  <c r="H328" i="3" s="1"/>
  <c r="A329" i="3"/>
  <c r="B329" i="3"/>
  <c r="C329" i="3"/>
  <c r="D329" i="3"/>
  <c r="E329" i="3"/>
  <c r="F329" i="3"/>
  <c r="G329" i="3" s="1"/>
  <c r="H329" i="3" s="1"/>
  <c r="A330" i="3"/>
  <c r="B330" i="3"/>
  <c r="C330" i="3"/>
  <c r="D330" i="3"/>
  <c r="E330" i="3"/>
  <c r="F330" i="3"/>
  <c r="G330" i="3" s="1"/>
  <c r="H330" i="3" s="1"/>
  <c r="A331" i="3"/>
  <c r="B331" i="3"/>
  <c r="C331" i="3"/>
  <c r="D331" i="3"/>
  <c r="E331" i="3"/>
  <c r="F331" i="3"/>
  <c r="G331" i="3" s="1"/>
  <c r="H331" i="3" s="1"/>
  <c r="A332" i="3"/>
  <c r="B332" i="3"/>
  <c r="C332" i="3"/>
  <c r="D332" i="3"/>
  <c r="E332" i="3"/>
  <c r="F332" i="3"/>
  <c r="G332" i="3" s="1"/>
  <c r="H332" i="3" s="1"/>
  <c r="A333" i="3"/>
  <c r="B333" i="3"/>
  <c r="C333" i="3"/>
  <c r="D333" i="3"/>
  <c r="E333" i="3"/>
  <c r="F333" i="3"/>
  <c r="G333" i="3" s="1"/>
  <c r="H333" i="3" s="1"/>
  <c r="A334" i="3"/>
  <c r="B334" i="3"/>
  <c r="C334" i="3"/>
  <c r="D334" i="3"/>
  <c r="E334" i="3"/>
  <c r="F334" i="3"/>
  <c r="G334" i="3" s="1"/>
  <c r="H334" i="3" s="1"/>
  <c r="A335" i="3"/>
  <c r="B335" i="3"/>
  <c r="C335" i="3"/>
  <c r="D335" i="3"/>
  <c r="E335" i="3"/>
  <c r="F335" i="3"/>
  <c r="G335" i="3" s="1"/>
  <c r="H335" i="3" s="1"/>
  <c r="A336" i="3"/>
  <c r="B336" i="3"/>
  <c r="C336" i="3"/>
  <c r="D336" i="3"/>
  <c r="E336" i="3"/>
  <c r="F336" i="3"/>
  <c r="G336" i="3" s="1"/>
  <c r="H336" i="3" s="1"/>
  <c r="A337" i="3"/>
  <c r="B337" i="3"/>
  <c r="C337" i="3"/>
  <c r="D337" i="3"/>
  <c r="E337" i="3"/>
  <c r="F337" i="3"/>
  <c r="G337" i="3" s="1"/>
  <c r="H337" i="3" s="1"/>
  <c r="A338" i="3"/>
  <c r="B338" i="3"/>
  <c r="C338" i="3"/>
  <c r="D338" i="3"/>
  <c r="E338" i="3"/>
  <c r="F338" i="3"/>
  <c r="G338" i="3" s="1"/>
  <c r="H338" i="3" s="1"/>
  <c r="A339" i="3"/>
  <c r="B339" i="3"/>
  <c r="C339" i="3"/>
  <c r="D339" i="3"/>
  <c r="E339" i="3"/>
  <c r="F339" i="3"/>
  <c r="G339" i="3" s="1"/>
  <c r="H339" i="3" s="1"/>
  <c r="A340" i="3"/>
  <c r="B340" i="3"/>
  <c r="C340" i="3"/>
  <c r="D340" i="3"/>
  <c r="E340" i="3"/>
  <c r="F340" i="3"/>
  <c r="G340" i="3" s="1"/>
  <c r="H340" i="3" s="1"/>
  <c r="A341" i="3"/>
  <c r="B341" i="3"/>
  <c r="C341" i="3"/>
  <c r="D341" i="3"/>
  <c r="E341" i="3"/>
  <c r="F341" i="3"/>
  <c r="G341" i="3" s="1"/>
  <c r="H341" i="3" s="1"/>
  <c r="A342" i="3"/>
  <c r="B342" i="3"/>
  <c r="C342" i="3"/>
  <c r="D342" i="3"/>
  <c r="E342" i="3"/>
  <c r="F342" i="3"/>
  <c r="G342" i="3" s="1"/>
  <c r="H342" i="3" s="1"/>
  <c r="A343" i="3"/>
  <c r="B343" i="3"/>
  <c r="C343" i="3"/>
  <c r="D343" i="3"/>
  <c r="E343" i="3"/>
  <c r="F343" i="3"/>
  <c r="G343" i="3" s="1"/>
  <c r="H343" i="3" s="1"/>
  <c r="A344" i="3"/>
  <c r="B344" i="3"/>
  <c r="C344" i="3"/>
  <c r="D344" i="3"/>
  <c r="E344" i="3"/>
  <c r="F344" i="3"/>
  <c r="G344" i="3" s="1"/>
  <c r="H344" i="3" s="1"/>
  <c r="A345" i="3"/>
  <c r="B345" i="3"/>
  <c r="C345" i="3"/>
  <c r="D345" i="3"/>
  <c r="E345" i="3"/>
  <c r="F345" i="3"/>
  <c r="G345" i="3" s="1"/>
  <c r="H345" i="3" s="1"/>
  <c r="A346" i="3"/>
  <c r="B346" i="3"/>
  <c r="C346" i="3"/>
  <c r="D346" i="3"/>
  <c r="E346" i="3"/>
  <c r="F346" i="3"/>
  <c r="G346" i="3" s="1"/>
  <c r="H346" i="3" s="1"/>
  <c r="A347" i="3"/>
  <c r="B347" i="3"/>
  <c r="C347" i="3"/>
  <c r="D347" i="3"/>
  <c r="E347" i="3"/>
  <c r="F347" i="3"/>
  <c r="G347" i="3" s="1"/>
  <c r="H347" i="3" s="1"/>
  <c r="A348" i="3"/>
  <c r="B348" i="3"/>
  <c r="C348" i="3"/>
  <c r="D348" i="3"/>
  <c r="E348" i="3"/>
  <c r="F348" i="3"/>
  <c r="G348" i="3" s="1"/>
  <c r="H348" i="3" s="1"/>
  <c r="A349" i="3"/>
  <c r="B349" i="3"/>
  <c r="C349" i="3"/>
  <c r="D349" i="3"/>
  <c r="E349" i="3"/>
  <c r="F349" i="3"/>
  <c r="G349" i="3" s="1"/>
  <c r="H349" i="3" s="1"/>
  <c r="A350" i="3"/>
  <c r="B350" i="3"/>
  <c r="C350" i="3"/>
  <c r="D350" i="3"/>
  <c r="E350" i="3"/>
  <c r="F350" i="3"/>
  <c r="G350" i="3" s="1"/>
  <c r="H350" i="3" s="1"/>
  <c r="A351" i="3"/>
  <c r="B351" i="3"/>
  <c r="C351" i="3"/>
  <c r="D351" i="3"/>
  <c r="E351" i="3"/>
  <c r="F351" i="3"/>
  <c r="G351" i="3" s="1"/>
  <c r="H351" i="3" s="1"/>
  <c r="A352" i="3"/>
  <c r="B352" i="3"/>
  <c r="C352" i="3"/>
  <c r="D352" i="3"/>
  <c r="E352" i="3"/>
  <c r="F352" i="3"/>
  <c r="G352" i="3" s="1"/>
  <c r="H352" i="3" s="1"/>
  <c r="A353" i="3"/>
  <c r="B353" i="3"/>
  <c r="C353" i="3"/>
  <c r="D353" i="3"/>
  <c r="E353" i="3"/>
  <c r="F353" i="3"/>
  <c r="G353" i="3" s="1"/>
  <c r="H353" i="3" s="1"/>
  <c r="A354" i="3"/>
  <c r="B354" i="3"/>
  <c r="C354" i="3"/>
  <c r="D354" i="3"/>
  <c r="E354" i="3"/>
  <c r="F354" i="3"/>
  <c r="G354" i="3" s="1"/>
  <c r="H354" i="3" s="1"/>
  <c r="A355" i="3"/>
  <c r="B355" i="3"/>
  <c r="C355" i="3"/>
  <c r="D355" i="3"/>
  <c r="E355" i="3"/>
  <c r="F355" i="3"/>
  <c r="G355" i="3" s="1"/>
  <c r="H355" i="3" s="1"/>
  <c r="A356" i="3"/>
  <c r="B356" i="3"/>
  <c r="C356" i="3"/>
  <c r="D356" i="3"/>
  <c r="E356" i="3"/>
  <c r="F356" i="3"/>
  <c r="G356" i="3" s="1"/>
  <c r="H356" i="3" s="1"/>
  <c r="A357" i="3"/>
  <c r="B357" i="3"/>
  <c r="C357" i="3"/>
  <c r="D357" i="3"/>
  <c r="E357" i="3"/>
  <c r="F357" i="3"/>
  <c r="G357" i="3" s="1"/>
  <c r="H357" i="3" s="1"/>
  <c r="A358" i="3"/>
  <c r="B358" i="3"/>
  <c r="C358" i="3"/>
  <c r="D358" i="3"/>
  <c r="E358" i="3"/>
  <c r="F358" i="3"/>
  <c r="G358" i="3" s="1"/>
  <c r="H358" i="3" s="1"/>
  <c r="A359" i="3"/>
  <c r="B359" i="3"/>
  <c r="C359" i="3"/>
  <c r="D359" i="3"/>
  <c r="E359" i="3"/>
  <c r="F359" i="3"/>
  <c r="G359" i="3" s="1"/>
  <c r="H359" i="3" s="1"/>
  <c r="A360" i="3"/>
  <c r="B360" i="3"/>
  <c r="C360" i="3"/>
  <c r="D360" i="3"/>
  <c r="E360" i="3"/>
  <c r="F360" i="3"/>
  <c r="G360" i="3" s="1"/>
  <c r="H360" i="3" s="1"/>
  <c r="A361" i="3"/>
  <c r="B361" i="3"/>
  <c r="C361" i="3"/>
  <c r="D361" i="3"/>
  <c r="E361" i="3"/>
  <c r="F361" i="3"/>
  <c r="G361" i="3" s="1"/>
  <c r="H361" i="3" s="1"/>
  <c r="A362" i="3"/>
  <c r="B362" i="3"/>
  <c r="C362" i="3"/>
  <c r="D362" i="3"/>
  <c r="E362" i="3"/>
  <c r="F362" i="3"/>
  <c r="G362" i="3" s="1"/>
  <c r="H362" i="3" s="1"/>
  <c r="A363" i="3"/>
  <c r="B363" i="3"/>
  <c r="C363" i="3"/>
  <c r="D363" i="3"/>
  <c r="E363" i="3"/>
  <c r="F363" i="3"/>
  <c r="G363" i="3" s="1"/>
  <c r="H363" i="3" s="1"/>
  <c r="A364" i="3"/>
  <c r="B364" i="3"/>
  <c r="C364" i="3"/>
  <c r="D364" i="3"/>
  <c r="E364" i="3"/>
  <c r="F364" i="3"/>
  <c r="G364" i="3" s="1"/>
  <c r="H364" i="3" s="1"/>
  <c r="A365" i="3"/>
  <c r="B365" i="3"/>
  <c r="C365" i="3"/>
  <c r="D365" i="3"/>
  <c r="E365" i="3"/>
  <c r="F365" i="3"/>
  <c r="G365" i="3" s="1"/>
  <c r="H365" i="3" s="1"/>
  <c r="A366" i="3"/>
  <c r="B366" i="3"/>
  <c r="C366" i="3"/>
  <c r="D366" i="3"/>
  <c r="E366" i="3"/>
  <c r="F366" i="3"/>
  <c r="G366" i="3" s="1"/>
  <c r="H366" i="3" s="1"/>
  <c r="A367" i="3"/>
  <c r="B367" i="3"/>
  <c r="C367" i="3"/>
  <c r="D367" i="3"/>
  <c r="E367" i="3"/>
  <c r="F367" i="3"/>
  <c r="G367" i="3" s="1"/>
  <c r="H367" i="3" s="1"/>
  <c r="A368" i="3"/>
  <c r="B368" i="3"/>
  <c r="C368" i="3"/>
  <c r="D368" i="3"/>
  <c r="E368" i="3"/>
  <c r="F368" i="3"/>
  <c r="G368" i="3" s="1"/>
  <c r="H368" i="3" s="1"/>
  <c r="A369" i="3"/>
  <c r="B369" i="3"/>
  <c r="C369" i="3"/>
  <c r="D369" i="3"/>
  <c r="E369" i="3"/>
  <c r="F369" i="3"/>
  <c r="G369" i="3" s="1"/>
  <c r="H369" i="3" s="1"/>
  <c r="A370" i="3"/>
  <c r="B370" i="3"/>
  <c r="C370" i="3"/>
  <c r="D370" i="3"/>
  <c r="E370" i="3"/>
  <c r="F370" i="3"/>
  <c r="G370" i="3" s="1"/>
  <c r="H370" i="3" s="1"/>
  <c r="A371" i="3"/>
  <c r="B371" i="3"/>
  <c r="C371" i="3"/>
  <c r="D371" i="3"/>
  <c r="E371" i="3"/>
  <c r="F371" i="3"/>
  <c r="G371" i="3" s="1"/>
  <c r="H371" i="3" s="1"/>
  <c r="A372" i="3"/>
  <c r="B372" i="3"/>
  <c r="C372" i="3"/>
  <c r="D372" i="3"/>
  <c r="E372" i="3"/>
  <c r="F372" i="3"/>
  <c r="G372" i="3" s="1"/>
  <c r="H372" i="3" s="1"/>
  <c r="A373" i="3"/>
  <c r="B373" i="3"/>
  <c r="C373" i="3"/>
  <c r="D373" i="3"/>
  <c r="E373" i="3"/>
  <c r="F373" i="3"/>
  <c r="G373" i="3" s="1"/>
  <c r="H373" i="3" s="1"/>
  <c r="A374" i="3"/>
  <c r="B374" i="3"/>
  <c r="C374" i="3"/>
  <c r="D374" i="3"/>
  <c r="E374" i="3"/>
  <c r="F374" i="3"/>
  <c r="G374" i="3" s="1"/>
  <c r="H374" i="3" s="1"/>
  <c r="A375" i="3"/>
  <c r="B375" i="3"/>
  <c r="C375" i="3"/>
  <c r="D375" i="3"/>
  <c r="E375" i="3"/>
  <c r="F375" i="3"/>
  <c r="G375" i="3" s="1"/>
  <c r="H375" i="3" s="1"/>
  <c r="A376" i="3"/>
  <c r="B376" i="3"/>
  <c r="C376" i="3"/>
  <c r="D376" i="3"/>
  <c r="E376" i="3"/>
  <c r="F376" i="3"/>
  <c r="A377" i="3"/>
  <c r="B377" i="3"/>
  <c r="C377" i="3"/>
  <c r="D377" i="3"/>
  <c r="E377" i="3"/>
  <c r="F377" i="3"/>
  <c r="G377" i="3" s="1"/>
  <c r="H377" i="3" s="1"/>
  <c r="A378" i="3"/>
  <c r="B378" i="3"/>
  <c r="C378" i="3"/>
  <c r="D378" i="3"/>
  <c r="E378" i="3"/>
  <c r="F378" i="3"/>
  <c r="G378" i="3" s="1"/>
  <c r="H378" i="3" s="1"/>
  <c r="A379" i="3"/>
  <c r="B379" i="3"/>
  <c r="C379" i="3"/>
  <c r="D379" i="3"/>
  <c r="E379" i="3"/>
  <c r="F379" i="3"/>
  <c r="G379" i="3" s="1"/>
  <c r="H379" i="3" s="1"/>
  <c r="A380" i="3"/>
  <c r="B380" i="3"/>
  <c r="C380" i="3"/>
  <c r="D380" i="3"/>
  <c r="E380" i="3"/>
  <c r="F380" i="3"/>
  <c r="G380" i="3" s="1"/>
  <c r="H380" i="3" s="1"/>
  <c r="A381" i="3"/>
  <c r="B381" i="3"/>
  <c r="C381" i="3"/>
  <c r="D381" i="3"/>
  <c r="E381" i="3"/>
  <c r="F381" i="3"/>
  <c r="G381" i="3" s="1"/>
  <c r="H381" i="3" s="1"/>
  <c r="A382" i="3"/>
  <c r="B382" i="3"/>
  <c r="C382" i="3"/>
  <c r="D382" i="3"/>
  <c r="E382" i="3"/>
  <c r="F382" i="3"/>
  <c r="G382" i="3" s="1"/>
  <c r="H382" i="3" s="1"/>
  <c r="A383" i="3"/>
  <c r="B383" i="3"/>
  <c r="C383" i="3"/>
  <c r="D383" i="3"/>
  <c r="E383" i="3"/>
  <c r="F383" i="3"/>
  <c r="G383" i="3" s="1"/>
  <c r="H383" i="3" s="1"/>
  <c r="A384" i="3"/>
  <c r="B384" i="3"/>
  <c r="C384" i="3"/>
  <c r="D384" i="3"/>
  <c r="E384" i="3"/>
  <c r="F384" i="3"/>
  <c r="G384" i="3" s="1"/>
  <c r="H384" i="3" s="1"/>
  <c r="A385" i="3"/>
  <c r="B385" i="3"/>
  <c r="C385" i="3"/>
  <c r="D385" i="3"/>
  <c r="E385" i="3"/>
  <c r="F385" i="3"/>
  <c r="G385" i="3" s="1"/>
  <c r="H385" i="3" s="1"/>
  <c r="A386" i="3"/>
  <c r="B386" i="3"/>
  <c r="C386" i="3"/>
  <c r="D386" i="3"/>
  <c r="E386" i="3"/>
  <c r="F386" i="3"/>
  <c r="G386" i="3" s="1"/>
  <c r="H386" i="3" s="1"/>
  <c r="A387" i="3"/>
  <c r="B387" i="3"/>
  <c r="C387" i="3"/>
  <c r="D387" i="3"/>
  <c r="E387" i="3"/>
  <c r="F387" i="3"/>
  <c r="G387" i="3" s="1"/>
  <c r="H387" i="3" s="1"/>
  <c r="A388" i="3"/>
  <c r="B388" i="3"/>
  <c r="C388" i="3"/>
  <c r="D388" i="3"/>
  <c r="E388" i="3"/>
  <c r="F388" i="3"/>
  <c r="G388" i="3" s="1"/>
  <c r="H388" i="3" s="1"/>
  <c r="A389" i="3"/>
  <c r="B389" i="3"/>
  <c r="C389" i="3"/>
  <c r="D389" i="3"/>
  <c r="E389" i="3"/>
  <c r="F389" i="3"/>
  <c r="G389" i="3" s="1"/>
  <c r="H389" i="3" s="1"/>
  <c r="A390" i="3"/>
  <c r="B390" i="3"/>
  <c r="C390" i="3"/>
  <c r="D390" i="3"/>
  <c r="E390" i="3"/>
  <c r="F390" i="3"/>
  <c r="G390" i="3" s="1"/>
  <c r="H390" i="3" s="1"/>
  <c r="A391" i="3"/>
  <c r="B391" i="3"/>
  <c r="C391" i="3"/>
  <c r="D391" i="3"/>
  <c r="E391" i="3"/>
  <c r="F391" i="3"/>
  <c r="G391" i="3" s="1"/>
  <c r="H391" i="3" s="1"/>
  <c r="A392" i="3"/>
  <c r="B392" i="3"/>
  <c r="C392" i="3"/>
  <c r="D392" i="3"/>
  <c r="E392" i="3"/>
  <c r="F392" i="3"/>
  <c r="G392" i="3" s="1"/>
  <c r="H392" i="3" s="1"/>
  <c r="A393" i="3"/>
  <c r="B393" i="3"/>
  <c r="C393" i="3"/>
  <c r="D393" i="3"/>
  <c r="E393" i="3"/>
  <c r="F393" i="3"/>
  <c r="G393" i="3" s="1"/>
  <c r="H393" i="3" s="1"/>
  <c r="A394" i="3"/>
  <c r="B394" i="3"/>
  <c r="C394" i="3"/>
  <c r="D394" i="3"/>
  <c r="E394" i="3"/>
  <c r="F394" i="3"/>
  <c r="G394" i="3" s="1"/>
  <c r="H394" i="3" s="1"/>
  <c r="A395" i="3"/>
  <c r="B395" i="3"/>
  <c r="C395" i="3"/>
  <c r="D395" i="3"/>
  <c r="E395" i="3"/>
  <c r="F395" i="3"/>
  <c r="G395" i="3" s="1"/>
  <c r="H395" i="3" s="1"/>
  <c r="A396" i="3"/>
  <c r="B396" i="3"/>
  <c r="C396" i="3"/>
  <c r="D396" i="3"/>
  <c r="E396" i="3"/>
  <c r="F396" i="3"/>
  <c r="G396" i="3" s="1"/>
  <c r="H396" i="3" s="1"/>
  <c r="A397" i="3"/>
  <c r="B397" i="3"/>
  <c r="C397" i="3"/>
  <c r="D397" i="3"/>
  <c r="E397" i="3"/>
  <c r="F397" i="3"/>
  <c r="G397" i="3" s="1"/>
  <c r="H397" i="3" s="1"/>
  <c r="A398" i="3"/>
  <c r="B398" i="3"/>
  <c r="C398" i="3"/>
  <c r="D398" i="3"/>
  <c r="E398" i="3"/>
  <c r="F398" i="3"/>
  <c r="A399" i="3"/>
  <c r="B399" i="3"/>
  <c r="C399" i="3"/>
  <c r="D399" i="3"/>
  <c r="E399" i="3"/>
  <c r="F399" i="3"/>
  <c r="G399" i="3" s="1"/>
  <c r="H399" i="3" s="1"/>
  <c r="A400" i="3"/>
  <c r="B400" i="3"/>
  <c r="C400" i="3"/>
  <c r="D400" i="3"/>
  <c r="E400" i="3"/>
  <c r="F400" i="3"/>
  <c r="G400" i="3" s="1"/>
  <c r="H400" i="3" s="1"/>
  <c r="A401" i="3"/>
  <c r="B401" i="3"/>
  <c r="C401" i="3"/>
  <c r="D401" i="3"/>
  <c r="E401" i="3"/>
  <c r="F401" i="3"/>
  <c r="G401" i="3" s="1"/>
  <c r="H401" i="3" s="1"/>
  <c r="A402" i="3"/>
  <c r="B402" i="3"/>
  <c r="C402" i="3"/>
  <c r="D402" i="3"/>
  <c r="E402" i="3"/>
  <c r="F402" i="3"/>
  <c r="G402" i="3" s="1"/>
  <c r="H402" i="3" s="1"/>
  <c r="A403" i="3"/>
  <c r="B403" i="3"/>
  <c r="C403" i="3"/>
  <c r="D403" i="3"/>
  <c r="E403" i="3"/>
  <c r="F403" i="3"/>
  <c r="G403" i="3" s="1"/>
  <c r="H403" i="3" s="1"/>
  <c r="A404" i="3"/>
  <c r="B404" i="3"/>
  <c r="C404" i="3"/>
  <c r="D404" i="3"/>
  <c r="E404" i="3"/>
  <c r="F404" i="3"/>
  <c r="G404" i="3" s="1"/>
  <c r="H404" i="3" s="1"/>
  <c r="A405" i="3"/>
  <c r="B405" i="3"/>
  <c r="C405" i="3"/>
  <c r="D405" i="3"/>
  <c r="E405" i="3"/>
  <c r="F405" i="3"/>
  <c r="G405" i="3" s="1"/>
  <c r="H405" i="3" s="1"/>
  <c r="A406" i="3"/>
  <c r="B406" i="3"/>
  <c r="C406" i="3"/>
  <c r="D406" i="3"/>
  <c r="E406" i="3"/>
  <c r="F406" i="3"/>
  <c r="G406" i="3" s="1"/>
  <c r="H406" i="3" s="1"/>
  <c r="A407" i="3"/>
  <c r="B407" i="3"/>
  <c r="C407" i="3"/>
  <c r="D407" i="3"/>
  <c r="E407" i="3"/>
  <c r="F407" i="3"/>
  <c r="G407" i="3" s="1"/>
  <c r="H407" i="3" s="1"/>
  <c r="A408" i="3"/>
  <c r="B408" i="3"/>
  <c r="C408" i="3"/>
  <c r="D408" i="3"/>
  <c r="E408" i="3"/>
  <c r="F408" i="3"/>
  <c r="G408" i="3" s="1"/>
  <c r="H408" i="3" s="1"/>
  <c r="A409" i="3"/>
  <c r="B409" i="3"/>
  <c r="C409" i="3"/>
  <c r="D409" i="3"/>
  <c r="E409" i="3"/>
  <c r="F409" i="3"/>
  <c r="G409" i="3" s="1"/>
  <c r="H409" i="3" s="1"/>
  <c r="A410" i="3"/>
  <c r="B410" i="3"/>
  <c r="C410" i="3"/>
  <c r="D410" i="3"/>
  <c r="E410" i="3"/>
  <c r="F410" i="3"/>
  <c r="G410" i="3" s="1"/>
  <c r="H410" i="3" s="1"/>
  <c r="A411" i="3"/>
  <c r="B411" i="3"/>
  <c r="C411" i="3"/>
  <c r="D411" i="3"/>
  <c r="E411" i="3"/>
  <c r="F411" i="3"/>
  <c r="G411" i="3" s="1"/>
  <c r="H411" i="3" s="1"/>
  <c r="A412" i="3"/>
  <c r="B412" i="3"/>
  <c r="C412" i="3"/>
  <c r="D412" i="3"/>
  <c r="E412" i="3"/>
  <c r="F412" i="3"/>
  <c r="G412" i="3" s="1"/>
  <c r="H412" i="3" s="1"/>
  <c r="A413" i="3"/>
  <c r="B413" i="3"/>
  <c r="C413" i="3"/>
  <c r="D413" i="3"/>
  <c r="E413" i="3"/>
  <c r="F413" i="3"/>
  <c r="G413" i="3" s="1"/>
  <c r="H413" i="3" s="1"/>
  <c r="A414" i="3"/>
  <c r="B414" i="3"/>
  <c r="C414" i="3"/>
  <c r="D414" i="3"/>
  <c r="E414" i="3"/>
  <c r="F414" i="3"/>
  <c r="G414" i="3" s="1"/>
  <c r="H414" i="3" s="1"/>
  <c r="A415" i="3"/>
  <c r="B415" i="3"/>
  <c r="C415" i="3"/>
  <c r="D415" i="3"/>
  <c r="E415" i="3"/>
  <c r="F415" i="3"/>
  <c r="G415" i="3" s="1"/>
  <c r="H415" i="3" s="1"/>
  <c r="A416" i="3"/>
  <c r="B416" i="3"/>
  <c r="C416" i="3"/>
  <c r="D416" i="3"/>
  <c r="E416" i="3"/>
  <c r="F416" i="3"/>
  <c r="G416" i="3" s="1"/>
  <c r="H416" i="3" s="1"/>
  <c r="A417" i="3"/>
  <c r="B417" i="3"/>
  <c r="C417" i="3"/>
  <c r="D417" i="3"/>
  <c r="E417" i="3"/>
  <c r="F417" i="3"/>
  <c r="G417" i="3" s="1"/>
  <c r="H417" i="3" s="1"/>
  <c r="A418" i="3"/>
  <c r="B418" i="3"/>
  <c r="C418" i="3"/>
  <c r="D418" i="3"/>
  <c r="E418" i="3"/>
  <c r="F418" i="3"/>
  <c r="G418" i="3" s="1"/>
  <c r="H418" i="3" s="1"/>
  <c r="A419" i="3"/>
  <c r="B419" i="3"/>
  <c r="C419" i="3"/>
  <c r="D419" i="3"/>
  <c r="E419" i="3"/>
  <c r="F419" i="3"/>
  <c r="G419" i="3" s="1"/>
  <c r="H419" i="3" s="1"/>
  <c r="A420" i="3"/>
  <c r="B420" i="3"/>
  <c r="C420" i="3"/>
  <c r="D420" i="3"/>
  <c r="E420" i="3"/>
  <c r="F420" i="3"/>
  <c r="G420" i="3" s="1"/>
  <c r="H420" i="3" s="1"/>
  <c r="A421" i="3"/>
  <c r="B421" i="3"/>
  <c r="C421" i="3"/>
  <c r="D421" i="3"/>
  <c r="E421" i="3"/>
  <c r="F421" i="3"/>
  <c r="G421" i="3" s="1"/>
  <c r="H421" i="3" s="1"/>
  <c r="A422" i="3"/>
  <c r="B422" i="3"/>
  <c r="C422" i="3"/>
  <c r="D422" i="3"/>
  <c r="E422" i="3"/>
  <c r="F422" i="3"/>
  <c r="G422" i="3" s="1"/>
  <c r="H422" i="3" s="1"/>
  <c r="A423" i="3"/>
  <c r="B423" i="3"/>
  <c r="C423" i="3"/>
  <c r="D423" i="3"/>
  <c r="E423" i="3"/>
  <c r="F423" i="3"/>
  <c r="G423" i="3" s="1"/>
  <c r="H423" i="3" s="1"/>
  <c r="A424" i="3"/>
  <c r="B424" i="3"/>
  <c r="C424" i="3"/>
  <c r="D424" i="3"/>
  <c r="E424" i="3"/>
  <c r="F424" i="3"/>
  <c r="G424" i="3" s="1"/>
  <c r="H424" i="3" s="1"/>
  <c r="A425" i="3"/>
  <c r="B425" i="3"/>
  <c r="C425" i="3"/>
  <c r="D425" i="3"/>
  <c r="E425" i="3"/>
  <c r="F425" i="3"/>
  <c r="G425" i="3" s="1"/>
  <c r="H425" i="3" s="1"/>
  <c r="A426" i="3"/>
  <c r="B426" i="3"/>
  <c r="C426" i="3"/>
  <c r="D426" i="3"/>
  <c r="E426" i="3"/>
  <c r="F426" i="3"/>
  <c r="G426" i="3" s="1"/>
  <c r="H426" i="3" s="1"/>
  <c r="A427" i="3"/>
  <c r="B427" i="3"/>
  <c r="C427" i="3"/>
  <c r="D427" i="3"/>
  <c r="E427" i="3"/>
  <c r="F427" i="3"/>
  <c r="G427" i="3" s="1"/>
  <c r="H427" i="3" s="1"/>
  <c r="A428" i="3"/>
  <c r="B428" i="3"/>
  <c r="C428" i="3"/>
  <c r="D428" i="3"/>
  <c r="E428" i="3"/>
  <c r="F428" i="3"/>
  <c r="G428" i="3" s="1"/>
  <c r="H428" i="3" s="1"/>
  <c r="A429" i="3"/>
  <c r="B429" i="3"/>
  <c r="C429" i="3"/>
  <c r="D429" i="3"/>
  <c r="E429" i="3"/>
  <c r="F429" i="3"/>
  <c r="G429" i="3" s="1"/>
  <c r="H429" i="3" s="1"/>
  <c r="A430" i="3"/>
  <c r="B430" i="3"/>
  <c r="C430" i="3"/>
  <c r="D430" i="3"/>
  <c r="E430" i="3"/>
  <c r="F430" i="3"/>
  <c r="G430" i="3" s="1"/>
  <c r="H430" i="3" s="1"/>
  <c r="A431" i="3"/>
  <c r="B431" i="3"/>
  <c r="C431" i="3"/>
  <c r="D431" i="3"/>
  <c r="E431" i="3"/>
  <c r="F431" i="3"/>
  <c r="G431" i="3" s="1"/>
  <c r="H431" i="3" s="1"/>
  <c r="A432" i="3"/>
  <c r="B432" i="3"/>
  <c r="C432" i="3"/>
  <c r="D432" i="3"/>
  <c r="E432" i="3"/>
  <c r="F432" i="3"/>
  <c r="G432" i="3" s="1"/>
  <c r="H432" i="3" s="1"/>
  <c r="A433" i="3"/>
  <c r="B433" i="3"/>
  <c r="C433" i="3"/>
  <c r="D433" i="3"/>
  <c r="E433" i="3"/>
  <c r="F433" i="3"/>
  <c r="G433" i="3" s="1"/>
  <c r="H433" i="3" s="1"/>
  <c r="A434" i="3"/>
  <c r="B434" i="3"/>
  <c r="C434" i="3"/>
  <c r="D434" i="3"/>
  <c r="E434" i="3"/>
  <c r="F434" i="3"/>
  <c r="G434" i="3" s="1"/>
  <c r="H434" i="3" s="1"/>
  <c r="A435" i="3"/>
  <c r="B435" i="3"/>
  <c r="C435" i="3"/>
  <c r="D435" i="3"/>
  <c r="E435" i="3"/>
  <c r="F435" i="3"/>
  <c r="G435" i="3" s="1"/>
  <c r="H435" i="3" s="1"/>
  <c r="A436" i="3"/>
  <c r="B436" i="3"/>
  <c r="C436" i="3"/>
  <c r="D436" i="3"/>
  <c r="E436" i="3"/>
  <c r="F436" i="3"/>
  <c r="G436" i="3" s="1"/>
  <c r="H436" i="3" s="1"/>
  <c r="A437" i="3"/>
  <c r="B437" i="3"/>
  <c r="C437" i="3"/>
  <c r="D437" i="3"/>
  <c r="E437" i="3"/>
  <c r="F437" i="3"/>
  <c r="G437" i="3" s="1"/>
  <c r="H437" i="3" s="1"/>
  <c r="A438" i="3"/>
  <c r="B438" i="3"/>
  <c r="C438" i="3"/>
  <c r="D438" i="3"/>
  <c r="E438" i="3"/>
  <c r="F438" i="3"/>
  <c r="G438" i="3" s="1"/>
  <c r="H438" i="3" s="1"/>
  <c r="A439" i="3"/>
  <c r="B439" i="3"/>
  <c r="C439" i="3"/>
  <c r="D439" i="3"/>
  <c r="E439" i="3"/>
  <c r="F439" i="3"/>
  <c r="G439" i="3" s="1"/>
  <c r="H439" i="3" s="1"/>
  <c r="A440" i="3"/>
  <c r="B440" i="3"/>
  <c r="C440" i="3"/>
  <c r="D440" i="3"/>
  <c r="E440" i="3"/>
  <c r="F440" i="3"/>
  <c r="G440" i="3" s="1"/>
  <c r="H440" i="3" s="1"/>
  <c r="A441" i="3"/>
  <c r="B441" i="3"/>
  <c r="C441" i="3"/>
  <c r="D441" i="3"/>
  <c r="E441" i="3"/>
  <c r="F441" i="3"/>
  <c r="G441" i="3" s="1"/>
  <c r="H441" i="3" s="1"/>
  <c r="A442" i="3"/>
  <c r="B442" i="3"/>
  <c r="C442" i="3"/>
  <c r="D442" i="3"/>
  <c r="E442" i="3"/>
  <c r="F442" i="3"/>
  <c r="G442" i="3" s="1"/>
  <c r="H442" i="3" s="1"/>
  <c r="A443" i="3"/>
  <c r="B443" i="3"/>
  <c r="C443" i="3"/>
  <c r="D443" i="3"/>
  <c r="E443" i="3"/>
  <c r="F443" i="3"/>
  <c r="G443" i="3" s="1"/>
  <c r="H443" i="3" s="1"/>
  <c r="A444" i="3"/>
  <c r="B444" i="3"/>
  <c r="C444" i="3"/>
  <c r="D444" i="3"/>
  <c r="E444" i="3"/>
  <c r="F444" i="3"/>
  <c r="G444" i="3" s="1"/>
  <c r="H444" i="3" s="1"/>
  <c r="A445" i="3"/>
  <c r="B445" i="3"/>
  <c r="C445" i="3"/>
  <c r="D445" i="3"/>
  <c r="E445" i="3"/>
  <c r="F445" i="3"/>
  <c r="G445" i="3" s="1"/>
  <c r="H445" i="3" s="1"/>
  <c r="A446" i="3"/>
  <c r="B446" i="3"/>
  <c r="C446" i="3"/>
  <c r="D446" i="3"/>
  <c r="E446" i="3"/>
  <c r="F446" i="3"/>
  <c r="G446" i="3" s="1"/>
  <c r="H446" i="3" s="1"/>
  <c r="A447" i="3"/>
  <c r="B447" i="3"/>
  <c r="C447" i="3"/>
  <c r="D447" i="3"/>
  <c r="E447" i="3"/>
  <c r="F447" i="3"/>
  <c r="G447" i="3" s="1"/>
  <c r="H447" i="3" s="1"/>
  <c r="A448" i="3"/>
  <c r="B448" i="3"/>
  <c r="C448" i="3"/>
  <c r="D448" i="3"/>
  <c r="E448" i="3"/>
  <c r="F448" i="3"/>
  <c r="G448" i="3" s="1"/>
  <c r="H448" i="3" s="1"/>
  <c r="A449" i="3"/>
  <c r="B449" i="3"/>
  <c r="C449" i="3"/>
  <c r="D449" i="3"/>
  <c r="E449" i="3"/>
  <c r="F449" i="3"/>
  <c r="G449" i="3" s="1"/>
  <c r="H449" i="3" s="1"/>
  <c r="A450" i="3"/>
  <c r="B450" i="3"/>
  <c r="C450" i="3"/>
  <c r="D450" i="3"/>
  <c r="E450" i="3"/>
  <c r="F450" i="3"/>
  <c r="G450" i="3" s="1"/>
  <c r="H450" i="3" s="1"/>
  <c r="A451" i="3"/>
  <c r="B451" i="3"/>
  <c r="C451" i="3"/>
  <c r="D451" i="3"/>
  <c r="E451" i="3"/>
  <c r="F451" i="3"/>
  <c r="G451" i="3" s="1"/>
  <c r="H451" i="3" s="1"/>
  <c r="A452" i="3"/>
  <c r="B452" i="3"/>
  <c r="C452" i="3"/>
  <c r="D452" i="3"/>
  <c r="E452" i="3"/>
  <c r="F452" i="3"/>
  <c r="G452" i="3" s="1"/>
  <c r="H452" i="3" s="1"/>
  <c r="A453" i="3"/>
  <c r="B453" i="3"/>
  <c r="C453" i="3"/>
  <c r="D453" i="3"/>
  <c r="E453" i="3"/>
  <c r="F453" i="3"/>
  <c r="G453" i="3" s="1"/>
  <c r="H453" i="3" s="1"/>
  <c r="A454" i="3"/>
  <c r="B454" i="3"/>
  <c r="C454" i="3"/>
  <c r="D454" i="3"/>
  <c r="E454" i="3"/>
  <c r="F454" i="3"/>
  <c r="G454" i="3" s="1"/>
  <c r="H454" i="3" s="1"/>
  <c r="A455" i="3"/>
  <c r="B455" i="3"/>
  <c r="C455" i="3"/>
  <c r="D455" i="3"/>
  <c r="E455" i="3"/>
  <c r="F455" i="3"/>
  <c r="G455" i="3" s="1"/>
  <c r="H455" i="3" s="1"/>
  <c r="A456" i="3"/>
  <c r="B456" i="3"/>
  <c r="C456" i="3"/>
  <c r="D456" i="3"/>
  <c r="E456" i="3"/>
  <c r="F456" i="3"/>
  <c r="G456" i="3" s="1"/>
  <c r="H456" i="3" s="1"/>
  <c r="A457" i="3"/>
  <c r="B457" i="3"/>
  <c r="C457" i="3"/>
  <c r="D457" i="3"/>
  <c r="E457" i="3"/>
  <c r="F457" i="3"/>
  <c r="G457" i="3" s="1"/>
  <c r="H457" i="3" s="1"/>
  <c r="A458" i="3"/>
  <c r="B458" i="3"/>
  <c r="C458" i="3"/>
  <c r="D458" i="3"/>
  <c r="E458" i="3"/>
  <c r="F458" i="3"/>
  <c r="G458" i="3" s="1"/>
  <c r="H458" i="3" s="1"/>
  <c r="A459" i="3"/>
  <c r="B459" i="3"/>
  <c r="C459" i="3"/>
  <c r="D459" i="3"/>
  <c r="E459" i="3"/>
  <c r="F459" i="3"/>
  <c r="G459" i="3" s="1"/>
  <c r="H459" i="3" s="1"/>
  <c r="A460" i="3"/>
  <c r="B460" i="3"/>
  <c r="C460" i="3"/>
  <c r="D460" i="3"/>
  <c r="E460" i="3"/>
  <c r="F460" i="3"/>
  <c r="G460" i="3" s="1"/>
  <c r="H460" i="3" s="1"/>
  <c r="A461" i="3"/>
  <c r="B461" i="3"/>
  <c r="C461" i="3"/>
  <c r="D461" i="3"/>
  <c r="E461" i="3"/>
  <c r="F461" i="3"/>
  <c r="G461" i="3" s="1"/>
  <c r="H461" i="3" s="1"/>
  <c r="A462" i="3"/>
  <c r="B462" i="3"/>
  <c r="C462" i="3"/>
  <c r="D462" i="3"/>
  <c r="E462" i="3"/>
  <c r="F462" i="3"/>
  <c r="G462" i="3" s="1"/>
  <c r="H462" i="3" s="1"/>
  <c r="A463" i="3"/>
  <c r="B463" i="3"/>
  <c r="C463" i="3"/>
  <c r="D463" i="3"/>
  <c r="E463" i="3"/>
  <c r="F463" i="3"/>
  <c r="G463" i="3" s="1"/>
  <c r="H463" i="3" s="1"/>
  <c r="A464" i="3"/>
  <c r="B464" i="3"/>
  <c r="C464" i="3"/>
  <c r="D464" i="3"/>
  <c r="E464" i="3"/>
  <c r="F464" i="3"/>
  <c r="G464" i="3" s="1"/>
  <c r="H464" i="3" s="1"/>
  <c r="A465" i="3"/>
  <c r="B465" i="3"/>
  <c r="C465" i="3"/>
  <c r="D465" i="3"/>
  <c r="E465" i="3"/>
  <c r="F465" i="3"/>
  <c r="G465" i="3" s="1"/>
  <c r="H465" i="3" s="1"/>
  <c r="A466" i="3"/>
  <c r="B466" i="3"/>
  <c r="C466" i="3"/>
  <c r="D466" i="3"/>
  <c r="E466" i="3"/>
  <c r="F466" i="3"/>
  <c r="G466" i="3" s="1"/>
  <c r="H466" i="3" s="1"/>
  <c r="A467" i="3"/>
  <c r="B467" i="3"/>
  <c r="C467" i="3"/>
  <c r="D467" i="3"/>
  <c r="E467" i="3"/>
  <c r="F467" i="3"/>
  <c r="G467" i="3" s="1"/>
  <c r="H467" i="3" s="1"/>
  <c r="A468" i="3"/>
  <c r="B468" i="3"/>
  <c r="C468" i="3"/>
  <c r="D468" i="3"/>
  <c r="E468" i="3"/>
  <c r="F468" i="3"/>
  <c r="G468" i="3" s="1"/>
  <c r="H468" i="3" s="1"/>
  <c r="A469" i="3"/>
  <c r="B469" i="3"/>
  <c r="C469" i="3"/>
  <c r="D469" i="3"/>
  <c r="E469" i="3"/>
  <c r="F469" i="3"/>
  <c r="G469" i="3" s="1"/>
  <c r="H469" i="3" s="1"/>
  <c r="A470" i="3"/>
  <c r="B470" i="3"/>
  <c r="C470" i="3"/>
  <c r="D470" i="3"/>
  <c r="E470" i="3"/>
  <c r="F470" i="3"/>
  <c r="G470" i="3" s="1"/>
  <c r="H470" i="3" s="1"/>
  <c r="A471" i="3"/>
  <c r="B471" i="3"/>
  <c r="C471" i="3"/>
  <c r="D471" i="3"/>
  <c r="E471" i="3"/>
  <c r="F471" i="3"/>
  <c r="G471" i="3" s="1"/>
  <c r="H471" i="3" s="1"/>
  <c r="A472" i="3"/>
  <c r="B472" i="3"/>
  <c r="C472" i="3"/>
  <c r="D472" i="3"/>
  <c r="E472" i="3"/>
  <c r="F472" i="3"/>
  <c r="G472" i="3" s="1"/>
  <c r="H472" i="3" s="1"/>
  <c r="A473" i="3"/>
  <c r="B473" i="3"/>
  <c r="C473" i="3"/>
  <c r="D473" i="3"/>
  <c r="E473" i="3"/>
  <c r="F473" i="3"/>
  <c r="G473" i="3" s="1"/>
  <c r="H473" i="3" s="1"/>
  <c r="A474" i="3"/>
  <c r="B474" i="3"/>
  <c r="C474" i="3"/>
  <c r="D474" i="3"/>
  <c r="E474" i="3"/>
  <c r="F474" i="3"/>
  <c r="G474" i="3" s="1"/>
  <c r="H474" i="3" s="1"/>
  <c r="A475" i="3"/>
  <c r="B475" i="3"/>
  <c r="C475" i="3"/>
  <c r="D475" i="3"/>
  <c r="E475" i="3"/>
  <c r="F475" i="3"/>
  <c r="G475" i="3" s="1"/>
  <c r="H475" i="3" s="1"/>
  <c r="A476" i="3"/>
  <c r="B476" i="3"/>
  <c r="C476" i="3"/>
  <c r="D476" i="3"/>
  <c r="E476" i="3"/>
  <c r="F476" i="3"/>
  <c r="G476" i="3" s="1"/>
  <c r="H476" i="3" s="1"/>
  <c r="A477" i="3"/>
  <c r="B477" i="3"/>
  <c r="C477" i="3"/>
  <c r="D477" i="3"/>
  <c r="E477" i="3"/>
  <c r="F477" i="3"/>
  <c r="G477" i="3" s="1"/>
  <c r="H477" i="3" s="1"/>
  <c r="A478" i="3"/>
  <c r="B478" i="3"/>
  <c r="C478" i="3"/>
  <c r="D478" i="3"/>
  <c r="E478" i="3"/>
  <c r="F478" i="3"/>
  <c r="G478" i="3" s="1"/>
  <c r="H478" i="3" s="1"/>
  <c r="A479" i="3"/>
  <c r="B479" i="3"/>
  <c r="C479" i="3"/>
  <c r="D479" i="3"/>
  <c r="E479" i="3"/>
  <c r="F479" i="3"/>
  <c r="G479" i="3" s="1"/>
  <c r="H479" i="3" s="1"/>
  <c r="A480" i="3"/>
  <c r="B480" i="3"/>
  <c r="C480" i="3"/>
  <c r="D480" i="3"/>
  <c r="E480" i="3"/>
  <c r="F480" i="3"/>
  <c r="G480" i="3" s="1"/>
  <c r="H480" i="3" s="1"/>
  <c r="A481" i="3"/>
  <c r="B481" i="3"/>
  <c r="C481" i="3"/>
  <c r="D481" i="3"/>
  <c r="E481" i="3"/>
  <c r="F481" i="3"/>
  <c r="G481" i="3" s="1"/>
  <c r="H481" i="3" s="1"/>
  <c r="A482" i="3"/>
  <c r="B482" i="3"/>
  <c r="C482" i="3"/>
  <c r="D482" i="3"/>
  <c r="E482" i="3"/>
  <c r="F482" i="3"/>
  <c r="G482" i="3" s="1"/>
  <c r="H482" i="3" s="1"/>
  <c r="A483" i="3"/>
  <c r="B483" i="3"/>
  <c r="C483" i="3"/>
  <c r="D483" i="3"/>
  <c r="E483" i="3"/>
  <c r="F483" i="3"/>
  <c r="G483" i="3" s="1"/>
  <c r="H483" i="3" s="1"/>
  <c r="A484" i="3"/>
  <c r="B484" i="3"/>
  <c r="C484" i="3"/>
  <c r="D484" i="3"/>
  <c r="E484" i="3"/>
  <c r="F484" i="3"/>
  <c r="G484" i="3" s="1"/>
  <c r="H484" i="3" s="1"/>
  <c r="A485" i="3"/>
  <c r="B485" i="3"/>
  <c r="C485" i="3"/>
  <c r="D485" i="3"/>
  <c r="E485" i="3"/>
  <c r="F485" i="3"/>
  <c r="G485" i="3" s="1"/>
  <c r="H485" i="3" s="1"/>
  <c r="A486" i="3"/>
  <c r="B486" i="3"/>
  <c r="C486" i="3"/>
  <c r="D486" i="3"/>
  <c r="E486" i="3"/>
  <c r="F486" i="3"/>
  <c r="G486" i="3" s="1"/>
  <c r="H486" i="3" s="1"/>
  <c r="A487" i="3"/>
  <c r="B487" i="3"/>
  <c r="C487" i="3"/>
  <c r="D487" i="3"/>
  <c r="E487" i="3"/>
  <c r="F487" i="3"/>
  <c r="G487" i="3" s="1"/>
  <c r="H487" i="3" s="1"/>
  <c r="A488" i="3"/>
  <c r="B488" i="3"/>
  <c r="C488" i="3"/>
  <c r="D488" i="3"/>
  <c r="E488" i="3"/>
  <c r="F488" i="3"/>
  <c r="G488" i="3" s="1"/>
  <c r="H488" i="3" s="1"/>
  <c r="A489" i="3"/>
  <c r="B489" i="3"/>
  <c r="C489" i="3"/>
  <c r="D489" i="3"/>
  <c r="E489" i="3"/>
  <c r="F489" i="3"/>
  <c r="G489" i="3" s="1"/>
  <c r="H489" i="3" s="1"/>
  <c r="A490" i="3"/>
  <c r="B490" i="3"/>
  <c r="C490" i="3"/>
  <c r="D490" i="3"/>
  <c r="E490" i="3"/>
  <c r="F490" i="3"/>
  <c r="G490" i="3" s="1"/>
  <c r="H490" i="3" s="1"/>
  <c r="A491" i="3"/>
  <c r="B491" i="3"/>
  <c r="C491" i="3"/>
  <c r="D491" i="3"/>
  <c r="E491" i="3"/>
  <c r="F491" i="3"/>
  <c r="G491" i="3" s="1"/>
  <c r="H491" i="3" s="1"/>
  <c r="A492" i="3"/>
  <c r="B492" i="3"/>
  <c r="C492" i="3"/>
  <c r="D492" i="3"/>
  <c r="E492" i="3"/>
  <c r="F492" i="3"/>
  <c r="G492" i="3" s="1"/>
  <c r="H492" i="3" s="1"/>
  <c r="A493" i="3"/>
  <c r="B493" i="3"/>
  <c r="C493" i="3"/>
  <c r="D493" i="3"/>
  <c r="E493" i="3"/>
  <c r="F493" i="3"/>
  <c r="G493" i="3" s="1"/>
  <c r="H493" i="3" s="1"/>
  <c r="A494" i="3"/>
  <c r="B494" i="3"/>
  <c r="C494" i="3"/>
  <c r="D494" i="3"/>
  <c r="E494" i="3"/>
  <c r="F494" i="3"/>
  <c r="G494" i="3" s="1"/>
  <c r="H494" i="3" s="1"/>
  <c r="A495" i="3"/>
  <c r="B495" i="3"/>
  <c r="C495" i="3"/>
  <c r="D495" i="3"/>
  <c r="E495" i="3"/>
  <c r="F495" i="3"/>
  <c r="G495" i="3" s="1"/>
  <c r="H495" i="3" s="1"/>
  <c r="A496" i="3"/>
  <c r="B496" i="3"/>
  <c r="C496" i="3"/>
  <c r="D496" i="3"/>
  <c r="E496" i="3"/>
  <c r="F496" i="3"/>
  <c r="G496" i="3" s="1"/>
  <c r="H496" i="3" s="1"/>
  <c r="A497" i="3"/>
  <c r="B497" i="3"/>
  <c r="C497" i="3"/>
  <c r="D497" i="3"/>
  <c r="E497" i="3"/>
  <c r="F497" i="3"/>
  <c r="G497" i="3" s="1"/>
  <c r="H497" i="3" s="1"/>
  <c r="A498" i="3"/>
  <c r="B498" i="3"/>
  <c r="C498" i="3"/>
  <c r="D498" i="3"/>
  <c r="E498" i="3"/>
  <c r="F498" i="3"/>
  <c r="G498" i="3" s="1"/>
  <c r="H498" i="3" s="1"/>
  <c r="A499" i="3"/>
  <c r="B499" i="3"/>
  <c r="C499" i="3"/>
  <c r="D499" i="3"/>
  <c r="E499" i="3"/>
  <c r="F499" i="3"/>
  <c r="G499" i="3" s="1"/>
  <c r="H499" i="3" s="1"/>
  <c r="A500" i="3"/>
  <c r="B500" i="3"/>
  <c r="C500" i="3"/>
  <c r="D500" i="3"/>
  <c r="E500" i="3"/>
  <c r="F500" i="3"/>
  <c r="G500" i="3" s="1"/>
  <c r="H500" i="3" s="1"/>
  <c r="A501" i="3"/>
  <c r="B501" i="3"/>
  <c r="C501" i="3"/>
  <c r="D501" i="3"/>
  <c r="E501" i="3"/>
  <c r="F501" i="3"/>
  <c r="G501" i="3" s="1"/>
  <c r="H501" i="3" s="1"/>
  <c r="A502" i="3"/>
  <c r="B502" i="3"/>
  <c r="C502" i="3"/>
  <c r="D502" i="3"/>
  <c r="E502" i="3"/>
  <c r="F502" i="3"/>
  <c r="G502" i="3" s="1"/>
  <c r="H502" i="3" s="1"/>
  <c r="A503" i="3"/>
  <c r="B503" i="3"/>
  <c r="C503" i="3"/>
  <c r="D503" i="3"/>
  <c r="E503" i="3"/>
  <c r="F503" i="3"/>
  <c r="G503" i="3" s="1"/>
  <c r="H503" i="3" s="1"/>
  <c r="F5" i="3"/>
  <c r="G5" i="3" s="1"/>
  <c r="E5" i="3"/>
  <c r="D5" i="3"/>
  <c r="B5" i="3"/>
  <c r="C5" i="3"/>
  <c r="A164" i="1"/>
  <c r="B10" i="4" l="1"/>
  <c r="B9" i="4"/>
  <c r="B11" i="4" s="1"/>
  <c r="H5" i="3"/>
  <c r="A165" i="1"/>
  <c r="A166" i="1" s="1"/>
  <c r="F9" i="4" l="1"/>
  <c r="F10" i="4"/>
  <c r="F11" i="4"/>
  <c r="F12" i="4"/>
  <c r="F13" i="4"/>
  <c r="A167" i="1"/>
  <c r="A168" i="1" s="1"/>
  <c r="A169" i="1" s="1"/>
  <c r="A170" i="1" s="1"/>
  <c r="A171" i="1" s="1"/>
  <c r="A172" i="1" s="1"/>
  <c r="F14" i="4" l="1"/>
  <c r="A173" i="1"/>
  <c r="A174" i="1" s="1"/>
  <c r="A175" i="1" s="1"/>
  <c r="A176" i="1" s="1"/>
  <c r="A177" i="1" s="1"/>
  <c r="A178" i="1" s="1"/>
  <c r="A179" i="1" s="1"/>
  <c r="A180" i="1" s="1"/>
  <c r="A181" i="1" s="1"/>
  <c r="A182" i="1" s="1"/>
  <c r="A183" i="1" s="1"/>
  <c r="A184" i="1" l="1"/>
  <c r="A185" i="1" s="1"/>
  <c r="A186" i="1" s="1"/>
  <c r="A187" i="1" s="1"/>
  <c r="A188" i="1" s="1"/>
  <c r="A189" i="1" s="1"/>
  <c r="A190" i="1" s="1"/>
  <c r="A191" i="1" s="1"/>
  <c r="A192" i="1" s="1"/>
  <c r="A193" i="1" s="1"/>
  <c r="A194" i="1" l="1"/>
  <c r="A195" i="1" s="1"/>
  <c r="A196" i="1" s="1"/>
  <c r="A197" i="1" s="1"/>
  <c r="A164" i="3"/>
  <c r="A165" i="3" l="1"/>
  <c r="A166" i="3" l="1"/>
  <c r="A167" i="3" l="1"/>
  <c r="A168" i="3" l="1"/>
  <c r="A169" i="3" l="1"/>
  <c r="A170" i="3" l="1"/>
  <c r="A171" i="3" l="1"/>
  <c r="A172" i="3" l="1"/>
  <c r="A173" i="3" l="1"/>
  <c r="A174" i="3" l="1"/>
  <c r="A175" i="3" l="1"/>
  <c r="A176" i="3" l="1"/>
  <c r="A177" i="3" l="1"/>
  <c r="A178" i="3" l="1"/>
  <c r="A179" i="3" l="1"/>
  <c r="A5" i="3" l="1"/>
  <c r="A6" i="1"/>
  <c r="A7" i="1" s="1"/>
  <c r="A180" i="3"/>
  <c r="A7" i="3" l="1"/>
  <c r="A8" i="1"/>
  <c r="A181" i="3"/>
  <c r="A8" i="3" l="1"/>
  <c r="A9" i="1"/>
  <c r="A182" i="3"/>
  <c r="A9" i="3" l="1"/>
  <c r="A10" i="1"/>
  <c r="A183" i="3"/>
  <c r="A10" i="3" l="1"/>
  <c r="A11" i="1"/>
  <c r="A184" i="3"/>
  <c r="A11" i="3" l="1"/>
  <c r="A12" i="1"/>
  <c r="A185" i="3"/>
  <c r="A12" i="3" l="1"/>
  <c r="A13" i="1"/>
  <c r="A186" i="3"/>
  <c r="A13" i="3" l="1"/>
  <c r="A14" i="1"/>
  <c r="A187" i="3"/>
  <c r="A14" i="3" l="1"/>
  <c r="A15" i="1"/>
  <c r="A188" i="3"/>
  <c r="A15" i="3" l="1"/>
  <c r="A16" i="1"/>
  <c r="A189" i="3"/>
  <c r="A16" i="3" l="1"/>
  <c r="A17" i="1"/>
  <c r="A190" i="3"/>
  <c r="A17" i="3" l="1"/>
  <c r="A18" i="1"/>
  <c r="A191" i="3"/>
  <c r="A18" i="3" l="1"/>
  <c r="A19" i="1"/>
  <c r="A192" i="3"/>
  <c r="A19" i="3" l="1"/>
  <c r="A20" i="1"/>
  <c r="A193" i="3"/>
  <c r="A20" i="3" l="1"/>
  <c r="A21" i="1"/>
  <c r="A194" i="3"/>
  <c r="A21" i="3" l="1"/>
  <c r="A22" i="1"/>
  <c r="A195" i="3"/>
  <c r="A22" i="3" l="1"/>
  <c r="A23" i="1"/>
  <c r="A196" i="3"/>
  <c r="A23" i="3" l="1"/>
  <c r="A24" i="1"/>
  <c r="A24" i="3" l="1"/>
  <c r="A25" i="1"/>
  <c r="A25" i="3" l="1"/>
  <c r="A26" i="1"/>
  <c r="A26" i="3" l="1"/>
  <c r="A27" i="1"/>
  <c r="A27" i="3" l="1"/>
  <c r="A28" i="1"/>
  <c r="A28" i="3" l="1"/>
  <c r="A29" i="1"/>
  <c r="A29" i="3" l="1"/>
  <c r="A30" i="1"/>
  <c r="A30" i="3" l="1"/>
  <c r="A31" i="1"/>
  <c r="A31" i="3" l="1"/>
  <c r="A32" i="1"/>
  <c r="A32" i="3" l="1"/>
  <c r="A33" i="1"/>
  <c r="A33" i="3" l="1"/>
  <c r="A34" i="1"/>
  <c r="A34" i="3" l="1"/>
  <c r="A35" i="1"/>
  <c r="A35" i="3" l="1"/>
  <c r="A36" i="1"/>
  <c r="A36" i="3" l="1"/>
  <c r="A37" i="1"/>
  <c r="A37" i="3" l="1"/>
  <c r="A38" i="1"/>
  <c r="A38" i="3" l="1"/>
  <c r="A39" i="1"/>
  <c r="A40" i="1" l="1"/>
  <c r="A39" i="3"/>
  <c r="A40" i="3" l="1"/>
  <c r="A41" i="1"/>
  <c r="A42" i="1" l="1"/>
  <c r="A41" i="3"/>
  <c r="A42" i="3" l="1"/>
  <c r="A43" i="1"/>
  <c r="A43" i="3" l="1"/>
  <c r="A44" i="1"/>
  <c r="A44" i="3" l="1"/>
  <c r="A45" i="1"/>
  <c r="A45" i="3" l="1"/>
  <c r="A46" i="1"/>
  <c r="A46" i="3" l="1"/>
  <c r="A47" i="1"/>
  <c r="A47" i="3" l="1"/>
  <c r="A48" i="1"/>
  <c r="A49" i="1" l="1"/>
  <c r="A48" i="3"/>
  <c r="A49" i="3" l="1"/>
  <c r="A50" i="1"/>
  <c r="A50" i="3" l="1"/>
  <c r="A51" i="1"/>
  <c r="A51" i="3" l="1"/>
  <c r="A52" i="1"/>
  <c r="A53" i="1" l="1"/>
  <c r="A52" i="3"/>
  <c r="A54" i="1" l="1"/>
  <c r="A53" i="3"/>
  <c r="A54" i="3" l="1"/>
  <c r="A55" i="1"/>
  <c r="A55" i="3" l="1"/>
  <c r="A56" i="1"/>
  <c r="A56" i="3" l="1"/>
  <c r="A57" i="1"/>
  <c r="A57" i="3" l="1"/>
  <c r="A58" i="1"/>
  <c r="A58" i="3" l="1"/>
  <c r="A59" i="1"/>
  <c r="A60" i="1" l="1"/>
  <c r="A59" i="3"/>
  <c r="A60" i="3" l="1"/>
  <c r="A61" i="1"/>
  <c r="A62" i="1" l="1"/>
  <c r="A61" i="3"/>
  <c r="A63" i="1" l="1"/>
  <c r="A62" i="3"/>
  <c r="A63" i="3" l="1"/>
  <c r="A64" i="1"/>
  <c r="A64" i="3" l="1"/>
  <c r="A65" i="1"/>
  <c r="A65" i="3" l="1"/>
  <c r="A66" i="1"/>
  <c r="A66" i="3" l="1"/>
  <c r="A67" i="1"/>
  <c r="A68" i="1" l="1"/>
  <c r="A67" i="3"/>
  <c r="A68" i="3" l="1"/>
  <c r="A69" i="1"/>
  <c r="A70" i="1" l="1"/>
  <c r="A69" i="3"/>
  <c r="A70" i="3" l="1"/>
  <c r="A71" i="1"/>
  <c r="A72" i="1" l="1"/>
  <c r="A71" i="3"/>
  <c r="A73" i="1" l="1"/>
  <c r="A72" i="3"/>
  <c r="A73" i="3" l="1"/>
  <c r="A74" i="1"/>
  <c r="A74" i="3" l="1"/>
  <c r="A75" i="1"/>
  <c r="A76" i="1" l="1"/>
  <c r="A75" i="3"/>
  <c r="A76" i="3" l="1"/>
  <c r="A77" i="1"/>
  <c r="A77" i="3" l="1"/>
  <c r="A78" i="1"/>
  <c r="A78" i="3" l="1"/>
  <c r="A79" i="1"/>
  <c r="A79" i="3" l="1"/>
  <c r="A80" i="1"/>
  <c r="A80" i="3" l="1"/>
  <c r="A81" i="1"/>
  <c r="A81" i="3" l="1"/>
  <c r="A82" i="1"/>
  <c r="A82" i="3" l="1"/>
  <c r="A83" i="1"/>
  <c r="A83" i="3" l="1"/>
  <c r="A84" i="1"/>
  <c r="A84" i="3" l="1"/>
  <c r="A85" i="1"/>
  <c r="A86" i="1" l="1"/>
  <c r="A85" i="3"/>
  <c r="A86" i="3" l="1"/>
  <c r="A87" i="1"/>
  <c r="A88" i="1" l="1"/>
  <c r="A87" i="3"/>
  <c r="A89" i="1" l="1"/>
  <c r="A88" i="3"/>
  <c r="A90" i="1" l="1"/>
  <c r="A89" i="3"/>
  <c r="A90" i="3" l="1"/>
  <c r="A91" i="1"/>
  <c r="A91" i="3" l="1"/>
  <c r="A92" i="1"/>
  <c r="A92" i="3" l="1"/>
  <c r="A93" i="1"/>
  <c r="A94" i="1" l="1"/>
  <c r="A93" i="3"/>
  <c r="A94" i="3" l="1"/>
  <c r="A95" i="1"/>
  <c r="A95" i="3" l="1"/>
  <c r="A96" i="1"/>
  <c r="A96" i="3" l="1"/>
  <c r="A97" i="1"/>
  <c r="A197" i="3" l="1"/>
  <c r="A97" i="3"/>
  <c r="A98" i="1"/>
  <c r="A98" i="3" l="1"/>
  <c r="A99" i="1"/>
  <c r="A100" i="1" l="1"/>
  <c r="A99" i="3"/>
  <c r="A100" i="3" l="1"/>
  <c r="A101" i="1"/>
  <c r="A101" i="3" l="1"/>
  <c r="A102" i="1"/>
  <c r="A102" i="3" l="1"/>
  <c r="A103" i="1"/>
  <c r="A104" i="1" l="1"/>
  <c r="A103" i="3"/>
  <c r="A104" i="3" l="1"/>
  <c r="A105" i="1"/>
  <c r="A106" i="1" l="1"/>
  <c r="A105" i="3"/>
  <c r="A106" i="3" l="1"/>
  <c r="A107" i="1"/>
  <c r="A107" i="3" l="1"/>
  <c r="A108" i="1"/>
  <c r="A108" i="3" l="1"/>
  <c r="A109" i="1"/>
  <c r="A109" i="3" l="1"/>
  <c r="A110" i="1"/>
  <c r="A111" i="1" l="1"/>
  <c r="A110" i="3"/>
  <c r="A112" i="1" l="1"/>
  <c r="A111" i="3"/>
  <c r="A113" i="1" l="1"/>
  <c r="A112" i="3"/>
  <c r="A113" i="3" l="1"/>
  <c r="A114" i="1"/>
  <c r="A115" i="1" l="1"/>
  <c r="A114" i="3"/>
  <c r="A115" i="3" l="1"/>
  <c r="A116" i="1"/>
  <c r="A117" i="1" l="1"/>
  <c r="A116" i="3"/>
  <c r="A118" i="1" l="1"/>
  <c r="A117" i="3"/>
  <c r="A118" i="3" l="1"/>
  <c r="A119" i="1"/>
  <c r="A119" i="3" l="1"/>
  <c r="A120" i="1"/>
  <c r="A121" i="1" l="1"/>
  <c r="A120" i="3"/>
  <c r="A122" i="1" l="1"/>
  <c r="A121" i="3"/>
  <c r="A122" i="3" l="1"/>
  <c r="A123" i="1"/>
  <c r="A124" i="1" l="1"/>
  <c r="A123" i="3"/>
  <c r="A125" i="1" l="1"/>
  <c r="A124" i="3"/>
  <c r="A125" i="3" l="1"/>
  <c r="A126" i="1"/>
  <c r="A127" i="1" l="1"/>
  <c r="A126" i="3"/>
  <c r="A127" i="3" l="1"/>
  <c r="A128" i="1"/>
  <c r="A128" i="3" l="1"/>
  <c r="A129" i="1"/>
  <c r="A130" i="1" l="1"/>
  <c r="A129" i="3"/>
  <c r="A131" i="1" l="1"/>
  <c r="A130" i="3"/>
  <c r="A132" i="1" l="1"/>
  <c r="A131" i="3"/>
  <c r="A133" i="1" l="1"/>
  <c r="A132" i="3"/>
  <c r="A133" i="3" l="1"/>
  <c r="A134" i="1"/>
  <c r="A134" i="3" l="1"/>
  <c r="A135" i="1"/>
  <c r="A136" i="1" l="1"/>
  <c r="A135" i="3"/>
  <c r="A136" i="3" l="1"/>
  <c r="A137" i="1"/>
  <c r="A138" i="1" l="1"/>
  <c r="A137" i="3"/>
  <c r="A138" i="3" l="1"/>
  <c r="A139" i="1"/>
  <c r="A140" i="1" l="1"/>
  <c r="A139" i="3"/>
  <c r="A141" i="1" l="1"/>
  <c r="A140" i="3"/>
  <c r="A141" i="3" l="1"/>
  <c r="A142" i="1"/>
  <c r="A143" i="1" l="1"/>
  <c r="A142" i="3"/>
  <c r="A144" i="1" l="1"/>
  <c r="A143" i="3"/>
  <c r="A144" i="3" l="1"/>
  <c r="A145" i="1"/>
  <c r="A146" i="1" l="1"/>
  <c r="A145" i="3"/>
  <c r="A146" i="3" l="1"/>
  <c r="A147" i="1"/>
  <c r="A148" i="1" l="1"/>
  <c r="A147" i="3"/>
  <c r="A149" i="1" l="1"/>
  <c r="A148" i="3"/>
  <c r="A149" i="3" l="1"/>
  <c r="A150" i="1"/>
  <c r="A151" i="1" l="1"/>
  <c r="A150" i="3"/>
  <c r="A151" i="3" l="1"/>
  <c r="A152" i="1"/>
  <c r="A152" i="3" l="1"/>
  <c r="A153" i="1"/>
  <c r="A153" i="3" l="1"/>
  <c r="A154" i="1"/>
  <c r="A155" i="1" l="1"/>
  <c r="A154" i="3"/>
  <c r="A156" i="1" l="1"/>
  <c r="A155" i="3"/>
  <c r="A157" i="1" l="1"/>
  <c r="A156" i="3"/>
  <c r="A158" i="1" l="1"/>
  <c r="A157" i="3"/>
  <c r="A159" i="1" l="1"/>
  <c r="A158" i="3"/>
  <c r="A159" i="3" l="1"/>
  <c r="A160" i="1"/>
  <c r="A160" i="3" l="1"/>
  <c r="A161" i="1"/>
  <c r="A161" i="3" l="1"/>
  <c r="A162" i="1"/>
  <c r="A163" i="1" l="1"/>
  <c r="A162" i="3"/>
  <c r="A6" i="3" l="1"/>
  <c r="A163" i="3"/>
</calcChain>
</file>

<file path=xl/sharedStrings.xml><?xml version="1.0" encoding="utf-8"?>
<sst xmlns="http://schemas.openxmlformats.org/spreadsheetml/2006/main" count="113" uniqueCount="59">
  <si>
    <t>No</t>
  </si>
  <si>
    <t>Jenis Kelamin</t>
  </si>
  <si>
    <t>Status Perkawinan</t>
  </si>
  <si>
    <t>Tanggal Lahir</t>
  </si>
  <si>
    <t>Pekerjaan</t>
  </si>
  <si>
    <t>NIK</t>
  </si>
  <si>
    <t>Nomor KK</t>
  </si>
  <si>
    <t>Nama Lengkap</t>
  </si>
  <si>
    <t>No Rumah</t>
  </si>
  <si>
    <t>No. Telpn</t>
  </si>
  <si>
    <t>Usia</t>
  </si>
  <si>
    <t>Kategori</t>
  </si>
  <si>
    <t>Status Dalam Keluarga</t>
  </si>
  <si>
    <t>Tanggal Meninggal</t>
  </si>
  <si>
    <t>Penyebab</t>
  </si>
  <si>
    <t>Tanggal Pindah</t>
  </si>
  <si>
    <t>Alamat Pindah</t>
  </si>
  <si>
    <t>Keterangan</t>
  </si>
  <si>
    <t>NEAR KENDARI</t>
  </si>
  <si>
    <t>832574905043</t>
  </si>
  <si>
    <t>Laki-Laki</t>
  </si>
  <si>
    <t>Belum Kawin</t>
  </si>
  <si>
    <t>IT SUPPORT</t>
  </si>
  <si>
    <t>Anak</t>
  </si>
  <si>
    <t>0823U43748935</t>
  </si>
  <si>
    <t>0894348939450943</t>
  </si>
  <si>
    <t>KAKULE</t>
  </si>
  <si>
    <t>0439459354054</t>
  </si>
  <si>
    <t>93475094754045</t>
  </si>
  <si>
    <t>05N</t>
  </si>
  <si>
    <t>KARYAWAN</t>
  </si>
  <si>
    <t>Kepala Keluarga</t>
  </si>
  <si>
    <t>03840938493240</t>
  </si>
  <si>
    <t>REKAP DATA PENDUDUDK</t>
  </si>
  <si>
    <t>JENIS KELAMIN</t>
  </si>
  <si>
    <t>JUMLAH</t>
  </si>
  <si>
    <t>Perempuan</t>
  </si>
  <si>
    <t>Total</t>
  </si>
  <si>
    <t>REKAP DATA PENDUDUK BERDASARKAN USIA</t>
  </si>
  <si>
    <t>USIA</t>
  </si>
  <si>
    <t>KETERANGAN</t>
  </si>
  <si>
    <t>0 -1 Tahun</t>
  </si>
  <si>
    <t>2 - 10 Tahun</t>
  </si>
  <si>
    <t>11 - 19 Tahun</t>
  </si>
  <si>
    <t>20 - 60 Tahun</t>
  </si>
  <si>
    <t>&gt; 60 Tahun</t>
  </si>
  <si>
    <t>Bayi</t>
  </si>
  <si>
    <t>Anak-Anak</t>
  </si>
  <si>
    <t>Remaja</t>
  </si>
  <si>
    <t>Dewasa</t>
  </si>
  <si>
    <t>Lanjut Usia</t>
  </si>
  <si>
    <t>JUMLAH KELUARGA</t>
  </si>
  <si>
    <t>Kepala Rumah Tangga</t>
  </si>
  <si>
    <t>AAAA</t>
  </si>
  <si>
    <t>935803500</t>
  </si>
  <si>
    <t>395405846</t>
  </si>
  <si>
    <t>B05</t>
  </si>
  <si>
    <t>Istri</t>
  </si>
  <si>
    <t>085093459048605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</si>
</sst>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7" x14ac:knownFonts="1">
    <font>
      <sz val="11"/>
      <color theme="1"/>
      <name val="Roboto Condensed"/>
      <family val="2"/>
      <charset val="1"/>
      <scheme val="minor"/>
    </font>
    <font>
      <b/>
      <sz val="11"/>
      <color theme="3"/>
      <name val="Roboto Condensed"/>
      <family val="2"/>
      <charset val="1"/>
      <scheme val="minor"/>
    </font>
    <font>
      <b/>
      <sz val="11"/>
      <color theme="0"/>
      <name val="Roboto Condensed"/>
      <family val="2"/>
      <charset val="1"/>
      <scheme val="minor"/>
    </font>
    <font>
      <sz val="11"/>
      <color theme="0"/>
      <name val="Roboto Condensed"/>
      <family val="2"/>
      <charset val="1"/>
      <scheme val="minor"/>
    </font>
    <font>
      <sz val="11"/>
      <color rgb="FF000000"/>
      <name val="Roboto Condensed"/>
    </font>
    <font>
      <sz val="8"/>
      <name val="Roboto Condensed"/>
      <family val="2"/>
      <charset val="1"/>
      <scheme val="minor"/>
    </font>
    <font>
      <b/>
      <sz val="11"/>
      <color theme="8" tint="-0.249977111117893"/>
      <name val="Roboto Condensed"/>
      <scheme val="minor"/>
    </font>
  </fonts>
  <fills count="4">
    <fill>
      <patternFill patternType="none"/>
    </fill>
    <fill>
      <patternFill patternType="gray125"/>
    </fill>
    <fill>
      <patternFill patternType="solid">
        <fgColor theme="7" tint="-0.499984740745262"/>
        <bgColor indexed="64"/>
      </patternFill>
    </fill>
    <fill>
      <patternFill patternType="solid">
        <fgColor theme="5" tint="-0.249977111117893"/>
        <bgColor indexed="64"/>
      </patternFill>
    </fill>
  </fills>
  <borders count="4">
    <border>
      <left/>
      <right/>
      <top/>
      <bottom/>
      <diagonal/>
    </border>
    <border>
      <left/>
      <right/>
      <top/>
      <bottom style="medium">
        <color theme="4" tint="0.39997558519241921"/>
      </bottom>
      <diagonal/>
    </border>
    <border>
      <left/>
      <right/>
      <top/>
      <bottom style="thick">
        <color theme="8" tint="-0.2499465926084170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/>
    <xf numFmtId="0" fontId="1" fillId="0" borderId="1" applyNumberFormat="0" applyFill="0" applyAlignment="0" applyProtection="0"/>
  </cellStyleXfs>
  <cellXfs count="32">
    <xf numFmtId="0" fontId="0" fillId="0" borderId="0" xfId="0"/>
    <xf numFmtId="49" fontId="0" fillId="0" borderId="0" xfId="0" applyNumberFormat="1"/>
    <xf numFmtId="0" fontId="0" fillId="2" borderId="0" xfId="0" applyFill="1"/>
    <xf numFmtId="0" fontId="4" fillId="0" borderId="0" xfId="0" applyFont="1" applyAlignment="1">
      <alignment vertical="center"/>
    </xf>
    <xf numFmtId="49" fontId="4" fillId="0" borderId="0" xfId="0" applyNumberFormat="1" applyFont="1" applyAlignment="1">
      <alignment vertical="center"/>
    </xf>
    <xf numFmtId="0" fontId="0" fillId="0" borderId="0" xfId="0" applyAlignment="1">
      <alignment horizontal="center"/>
    </xf>
    <xf numFmtId="0" fontId="2" fillId="3" borderId="1" xfId="1" applyFont="1" applyFill="1" applyAlignment="1">
      <alignment horizontal="center" vertical="center"/>
    </xf>
    <xf numFmtId="0" fontId="2" fillId="3" borderId="1" xfId="1" applyFont="1" applyFill="1" applyProtection="1">
      <protection locked="0"/>
    </xf>
    <xf numFmtId="49" fontId="2" fillId="3" borderId="1" xfId="1" applyNumberFormat="1" applyFont="1" applyFill="1" applyProtection="1">
      <protection locked="0"/>
    </xf>
    <xf numFmtId="14" fontId="2" fillId="3" borderId="1" xfId="1" applyNumberFormat="1" applyFont="1" applyFill="1" applyProtection="1">
      <protection locked="0"/>
    </xf>
    <xf numFmtId="0" fontId="0" fillId="0" borderId="0" xfId="0" applyAlignment="1">
      <alignment horizontal="center" vertical="center"/>
    </xf>
    <xf numFmtId="14" fontId="0" fillId="0" borderId="0" xfId="0" applyNumberFormat="1" applyAlignment="1">
      <alignment horizontal="center" vertical="center"/>
    </xf>
    <xf numFmtId="14" fontId="2" fillId="3" borderId="1" xfId="1" applyNumberFormat="1" applyFont="1" applyFill="1" applyAlignment="1" applyProtection="1">
      <alignment horizontal="center" vertical="center"/>
      <protection locked="0"/>
    </xf>
    <xf numFmtId="0" fontId="0" fillId="0" borderId="0" xfId="0" applyAlignment="1">
      <alignment horizontal="left" vertical="center"/>
    </xf>
    <xf numFmtId="0" fontId="0" fillId="0" borderId="2" xfId="0" applyBorder="1"/>
    <xf numFmtId="0" fontId="0" fillId="0" borderId="2" xfId="0" applyBorder="1" applyAlignment="1">
      <alignment horizontal="center" vertical="center"/>
    </xf>
    <xf numFmtId="14" fontId="4" fillId="0" borderId="0" xfId="0" applyNumberFormat="1" applyFont="1" applyAlignment="1">
      <alignment horizontal="left" vertical="center"/>
    </xf>
    <xf numFmtId="14" fontId="2" fillId="3" borderId="1" xfId="1" applyNumberFormat="1" applyFont="1" applyFill="1" applyAlignment="1" applyProtection="1">
      <alignment horizontal="left" vertical="center"/>
      <protection locked="0"/>
    </xf>
    <xf numFmtId="14" fontId="0" fillId="0" borderId="0" xfId="0" applyNumberFormat="1"/>
    <xf numFmtId="0" fontId="6" fillId="0" borderId="0" xfId="0" applyFont="1" applyFill="1" applyBorder="1"/>
    <xf numFmtId="0" fontId="6" fillId="0" borderId="0" xfId="0" applyFont="1" applyFill="1" applyBorder="1" applyAlignment="1">
      <alignment horizontal="center" vertical="center"/>
    </xf>
    <xf numFmtId="0" fontId="0" fillId="0" borderId="0" xfId="0" applyFill="1" applyBorder="1" applyAlignment="1">
      <alignment horizontal="center" vertical="center"/>
    </xf>
    <xf numFmtId="0" fontId="0" fillId="0" borderId="0" xfId="0" applyFill="1" applyBorder="1"/>
    <xf numFmtId="0" fontId="3" fillId="0" borderId="0" xfId="0" applyFont="1" applyFill="1" applyBorder="1" applyAlignment="1">
      <alignment horizontal="right"/>
    </xf>
    <xf numFmtId="0" fontId="3" fillId="0" borderId="0" xfId="0" applyFont="1" applyFill="1" applyBorder="1" applyAlignment="1">
      <alignment horizontal="center" vertical="center"/>
    </xf>
    <xf numFmtId="0" fontId="0" fillId="0" borderId="0" xfId="0" applyFill="1" applyBorder="1" applyAlignment="1">
      <alignment horizontal="right"/>
    </xf>
    <xf numFmtId="0" fontId="2" fillId="3" borderId="1" xfId="1" applyFont="1" applyFill="1" applyAlignment="1" applyProtection="1">
      <alignment horizontal="center"/>
      <protection locked="0"/>
    </xf>
    <xf numFmtId="0" fontId="4" fillId="0" borderId="0" xfId="0" applyFont="1" applyAlignment="1">
      <alignment horizontal="center" vertical="center"/>
    </xf>
    <xf numFmtId="14" fontId="4" fillId="0" borderId="0" xfId="0" applyNumberFormat="1" applyFont="1" applyAlignment="1">
      <alignment horizontal="center" vertical="center"/>
    </xf>
    <xf numFmtId="0" fontId="0" fillId="0" borderId="3" xfId="0" applyFill="1" applyBorder="1" applyAlignment="1">
      <alignment horizontal="right"/>
    </xf>
    <xf numFmtId="0" fontId="0" fillId="0" borderId="3" xfId="0" applyFill="1" applyBorder="1" applyAlignment="1">
      <alignment horizontal="center" vertical="center"/>
    </xf>
    <xf numFmtId="0" fontId="0" fillId="0" borderId="3" xfId="0" applyFill="1" applyBorder="1" applyAlignment="1">
      <alignment horizontal="center"/>
    </xf>
  </cellXfs>
  <cellStyles count="2">
    <cellStyle name="Heading 3" xfId="1" builtinId="18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pieChart>
        <c:varyColors val="1"/>
        <c:ser>
          <c:idx val="0"/>
          <c:order val="0"/>
          <c:spPr>
            <a:ln w="28575">
              <a:solidFill>
                <a:schemeClr val="bg1"/>
              </a:solidFill>
            </a:ln>
          </c:spPr>
          <c:dPt>
            <c:idx val="0"/>
            <c:bubble3D val="0"/>
            <c:spPr>
              <a:solidFill>
                <a:schemeClr val="accent5"/>
              </a:solidFill>
              <a:ln w="28575">
                <a:solidFill>
                  <a:schemeClr val="bg1"/>
                </a:solidFill>
              </a:ln>
            </c:spPr>
          </c:dPt>
          <c:dPt>
            <c:idx val="1"/>
            <c:bubble3D val="0"/>
            <c:spPr>
              <a:solidFill>
                <a:schemeClr val="accent2">
                  <a:lumMod val="40000"/>
                  <a:lumOff val="60000"/>
                </a:schemeClr>
              </a:solidFill>
              <a:ln w="28575">
                <a:solidFill>
                  <a:schemeClr val="bg1"/>
                </a:solidFill>
              </a:ln>
            </c:spPr>
          </c:dPt>
          <c:dLbls>
            <c:dLbl>
              <c:idx val="0"/>
              <c:layout>
                <c:manualLayout>
                  <c:x val="2.2223425196850395E-2"/>
                  <c:y val="5.1421697287839024E-3"/>
                </c:manualLayout>
              </c:layout>
              <c:showLegendKey val="0"/>
              <c:showVal val="0"/>
              <c:showCatName val="0"/>
              <c:showSerName val="0"/>
              <c:showPercent val="1"/>
              <c:showBubbleSize val="0"/>
            </c:dLbl>
            <c:dLbl>
              <c:idx val="1"/>
              <c:layout>
                <c:manualLayout>
                  <c:x val="-2.9864282589676289E-2"/>
                  <c:y val="-9.1719889180519099E-2"/>
                </c:manualLayout>
              </c:layout>
              <c:showLegendKey val="0"/>
              <c:showVal val="0"/>
              <c:showCatName val="0"/>
              <c:showSerName val="0"/>
              <c:showPercent val="1"/>
              <c:showBubbleSize val="0"/>
            </c:dLbl>
            <c:txPr>
              <a:bodyPr/>
              <a:lstStyle/>
              <a:p>
                <a:pPr>
                  <a:defRPr sz="1400" b="1">
                    <a:solidFill>
                      <a:schemeClr val="bg1"/>
                    </a:solidFill>
                  </a:defRPr>
                </a:pPr>
                <a:endParaRPr lang="en-US"/>
              </a:p>
            </c:txPr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leaderLines>
              <c:spPr>
                <a:ln w="38100">
                  <a:solidFill>
                    <a:schemeClr val="bg1"/>
                  </a:solidFill>
                </a:ln>
              </c:spPr>
            </c:leaderLines>
          </c:dLbls>
          <c:cat>
            <c:strRef>
              <c:f>REKAPITULASI!$A$9:$A$10</c:f>
              <c:strCache>
                <c:ptCount val="2"/>
                <c:pt idx="0">
                  <c:v>Laki-Laki</c:v>
                </c:pt>
                <c:pt idx="1">
                  <c:v>Perempuan</c:v>
                </c:pt>
              </c:strCache>
            </c:strRef>
          </c:cat>
          <c:val>
            <c:numRef>
              <c:f>REKAPITULASI!$B$9:$B$10</c:f>
              <c:numCache>
                <c:formatCode>General</c:formatCode>
                <c:ptCount val="2"/>
                <c:pt idx="0">
                  <c:v>2</c:v>
                </c:pt>
                <c:pt idx="1">
                  <c:v>1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1"/>
          <c:showBubbleSize val="0"/>
          <c:showLeaderLines val="1"/>
        </c:dLbls>
        <c:firstSliceAng val="0"/>
      </c:pieChart>
    </c:plotArea>
    <c:legend>
      <c:legendPos val="t"/>
      <c:layout/>
      <c:overlay val="0"/>
      <c:txPr>
        <a:bodyPr/>
        <a:lstStyle/>
        <a:p>
          <a:pPr>
            <a:defRPr sz="1200" b="1">
              <a:solidFill>
                <a:schemeClr val="bg1"/>
              </a:solidFill>
            </a:defRPr>
          </a:pPr>
          <a:endParaRPr lang="en-US"/>
        </a:p>
      </c:txPr>
    </c:legend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col"/>
        <c:grouping val="clustered"/>
        <c:varyColors val="0"/>
        <c:ser>
          <c:idx val="0"/>
          <c:order val="0"/>
          <c:invertIfNegative val="0"/>
          <c:dPt>
            <c:idx val="3"/>
            <c:invertIfNegative val="0"/>
            <c:bubble3D val="0"/>
            <c:spPr>
              <a:solidFill>
                <a:schemeClr val="tx2">
                  <a:lumMod val="40000"/>
                  <a:lumOff val="60000"/>
                </a:schemeClr>
              </a:solidFill>
            </c:spPr>
          </c:dPt>
          <c:cat>
            <c:strRef>
              <c:f>REKAPITULASI!$D$9:$D$13</c:f>
              <c:strCache>
                <c:ptCount val="5"/>
                <c:pt idx="0">
                  <c:v>0 -1 Tahun</c:v>
                </c:pt>
                <c:pt idx="1">
                  <c:v>2 - 10 Tahun</c:v>
                </c:pt>
                <c:pt idx="2">
                  <c:v>11 - 19 Tahun</c:v>
                </c:pt>
                <c:pt idx="3">
                  <c:v>20 - 60 Tahun</c:v>
                </c:pt>
                <c:pt idx="4">
                  <c:v>&gt; 60 Tahun</c:v>
                </c:pt>
              </c:strCache>
            </c:strRef>
          </c:cat>
          <c:val>
            <c:numRef>
              <c:f>REKAPITULASI!$F$9:$F$13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3</c:v>
                </c:pt>
                <c:pt idx="4">
                  <c:v>0</c:v>
                </c:pt>
              </c:numCache>
            </c:numRef>
          </c:val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150"/>
        <c:axId val="327894144"/>
        <c:axId val="327896064"/>
      </c:barChart>
      <c:catAx>
        <c:axId val="327894144"/>
        <c:scaling>
          <c:orientation val="minMax"/>
        </c:scaling>
        <c:delete val="0"/>
        <c:axPos val="b"/>
        <c:majorTickMark val="out"/>
        <c:minorTickMark val="none"/>
        <c:tickLblPos val="nextTo"/>
        <c:crossAx val="327896064"/>
        <c:crosses val="autoZero"/>
        <c:auto val="1"/>
        <c:lblAlgn val="ctr"/>
        <c:lblOffset val="100"/>
        <c:noMultiLvlLbl val="0"/>
      </c:catAx>
      <c:valAx>
        <c:axId val="327896064"/>
        <c:scaling>
          <c:orientation val="minMax"/>
        </c:scaling>
        <c:delete val="1"/>
        <c:axPos val="l"/>
        <c:numFmt formatCode="General" sourceLinked="1"/>
        <c:majorTickMark val="out"/>
        <c:minorTickMark val="none"/>
        <c:tickLblPos val="nextTo"/>
        <c:crossAx val="327894144"/>
        <c:crosses val="autoZero"/>
        <c:crossBetween val="between"/>
      </c:valAx>
      <c:spPr>
        <a:noFill/>
        <a:ln w="25400">
          <a:noFill/>
        </a:ln>
      </c:spPr>
    </c:plotArea>
    <c:plotVisOnly val="1"/>
    <c:dispBlanksAs val="gap"/>
    <c:showDLblsOverMax val="0"/>
  </c:chart>
  <c:spPr>
    <a:noFill/>
    <a:ln w="12700" cap="flat" cmpd="sng" algn="ctr">
      <a:noFill/>
      <a:prstDash val="solid"/>
      <a:miter lim="800000"/>
    </a:ln>
    <a:effectLst/>
  </c:spPr>
  <c:txPr>
    <a:bodyPr/>
    <a:lstStyle/>
    <a:p>
      <a:pPr>
        <a:defRPr sz="1200" b="1">
          <a:solidFill>
            <a:schemeClr val="bg1"/>
          </a:solidFill>
          <a:latin typeface="+mn-lt"/>
          <a:ea typeface="+mn-ea"/>
          <a:cs typeface="+mn-cs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image" Target="../media/image8.svg"/><Relationship Id="rId18" Type="http://schemas.openxmlformats.org/officeDocument/2006/relationships/image" Target="../media/image18.svg"/><Relationship Id="rId26" Type="http://schemas.openxmlformats.org/officeDocument/2006/relationships/chart" Target="../charts/chart2.xml"/><Relationship Id="rId3" Type="http://schemas.openxmlformats.org/officeDocument/2006/relationships/image" Target="../media/image2.png"/><Relationship Id="rId21" Type="http://schemas.openxmlformats.org/officeDocument/2006/relationships/image" Target="../media/image11.png"/><Relationship Id="rId7" Type="http://schemas.openxmlformats.org/officeDocument/2006/relationships/image" Target="../media/image4.png"/><Relationship Id="rId12" Type="http://schemas.openxmlformats.org/officeDocument/2006/relationships/image" Target="../media/image7.png"/><Relationship Id="rId17" Type="http://schemas.openxmlformats.org/officeDocument/2006/relationships/image" Target="../media/image9.png"/><Relationship Id="rId25" Type="http://schemas.openxmlformats.org/officeDocument/2006/relationships/chart" Target="../charts/chart1.xml"/><Relationship Id="rId2" Type="http://schemas.openxmlformats.org/officeDocument/2006/relationships/image" Target="../media/image2.svg"/><Relationship Id="rId16" Type="http://schemas.openxmlformats.org/officeDocument/2006/relationships/image" Target="../media/image16.svg"/><Relationship Id="rId20" Type="http://schemas.openxmlformats.org/officeDocument/2006/relationships/image" Target="../media/image20.svg"/><Relationship Id="rId1" Type="http://schemas.openxmlformats.org/officeDocument/2006/relationships/image" Target="../media/image1.png"/><Relationship Id="rId6" Type="http://schemas.openxmlformats.org/officeDocument/2006/relationships/image" Target="../media/image6.svg"/><Relationship Id="rId11" Type="http://schemas.openxmlformats.org/officeDocument/2006/relationships/image" Target="../media/image6.png"/><Relationship Id="rId24" Type="http://schemas.openxmlformats.org/officeDocument/2006/relationships/image" Target="../media/image13.png"/><Relationship Id="rId5" Type="http://schemas.openxmlformats.org/officeDocument/2006/relationships/image" Target="../media/image3.png"/><Relationship Id="rId15" Type="http://schemas.openxmlformats.org/officeDocument/2006/relationships/image" Target="../media/image8.png"/><Relationship Id="rId23" Type="http://schemas.openxmlformats.org/officeDocument/2006/relationships/image" Target="../media/image12.png"/><Relationship Id="rId10" Type="http://schemas.openxmlformats.org/officeDocument/2006/relationships/image" Target="../media/image10.svg"/><Relationship Id="rId19" Type="http://schemas.openxmlformats.org/officeDocument/2006/relationships/image" Target="../media/image10.png"/><Relationship Id="rId4" Type="http://schemas.openxmlformats.org/officeDocument/2006/relationships/image" Target="../media/image4.svg"/><Relationship Id="rId9" Type="http://schemas.openxmlformats.org/officeDocument/2006/relationships/image" Target="../media/image5.png"/><Relationship Id="rId14" Type="http://schemas.openxmlformats.org/officeDocument/2006/relationships/image" Target="../media/image14.svg"/><Relationship Id="rId22" Type="http://schemas.openxmlformats.org/officeDocument/2006/relationships/image" Target="../media/image22.svg"/></Relationships>
</file>

<file path=xl/drawings/_rels/drawing6.xml.rels><?xml version="1.0" encoding="UTF-8" standalone="yes"?>
<Relationships xmlns="http://schemas.openxmlformats.org/package/2006/relationships"><Relationship Id="rId2" Type="http://schemas.openxmlformats.org/officeDocument/2006/relationships/image" Target="../media/image26.svg"/><Relationship Id="rId1" Type="http://schemas.openxmlformats.org/officeDocument/2006/relationships/image" Target="../media/image14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16</xdr:col>
      <xdr:colOff>314322</xdr:colOff>
      <xdr:row>9</xdr:row>
      <xdr:rowOff>104775</xdr:rowOff>
    </xdr:from>
    <xdr:to>
      <xdr:col>22</xdr:col>
      <xdr:colOff>38099</xdr:colOff>
      <xdr:row>30</xdr:row>
      <xdr:rowOff>104775</xdr:rowOff>
    </xdr:to>
    <xdr:grpSp>
      <xdr:nvGrpSpPr>
        <xdr:cNvPr id="70" name="Group 69">
          <a:extLst>
            <a:ext uri="{FF2B5EF4-FFF2-40B4-BE49-F238E27FC236}">
              <a16:creationId xmlns:a16="http://schemas.microsoft.com/office/drawing/2014/main" xmlns="" id="{D9657600-7B9E-4D67-B750-E8B3139F2A2B}"/>
            </a:ext>
          </a:extLst>
        </xdr:cNvPr>
        <xdr:cNvGrpSpPr/>
      </xdr:nvGrpSpPr>
      <xdr:grpSpPr>
        <a:xfrm>
          <a:off x="11101385" y="1819275"/>
          <a:ext cx="3367089" cy="4000500"/>
          <a:chOff x="11134722" y="1990725"/>
          <a:chExt cx="3381377" cy="4400550"/>
        </a:xfrm>
      </xdr:grpSpPr>
      <xdr:sp macro="" textlink="">
        <xdr:nvSpPr>
          <xdr:cNvPr id="61" name="Rectangle: Rounded Corners 60">
            <a:extLst>
              <a:ext uri="{FF2B5EF4-FFF2-40B4-BE49-F238E27FC236}">
                <a16:creationId xmlns:a16="http://schemas.microsoft.com/office/drawing/2014/main" xmlns="" id="{347575A8-5B31-46A0-AAD1-BD6A7EC4FBFD}"/>
              </a:ext>
            </a:extLst>
          </xdr:cNvPr>
          <xdr:cNvSpPr/>
        </xdr:nvSpPr>
        <xdr:spPr>
          <a:xfrm>
            <a:off x="11134722" y="1990725"/>
            <a:ext cx="3381377" cy="4400550"/>
          </a:xfrm>
          <a:prstGeom prst="roundRect">
            <a:avLst>
              <a:gd name="adj" fmla="val 3714"/>
            </a:avLst>
          </a:prstGeom>
          <a:solidFill>
            <a:schemeClr val="accent2">
              <a:lumMod val="75000"/>
            </a:schemeClr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id-ID" sz="1100"/>
          </a:p>
        </xdr:txBody>
      </xdr:sp>
      <xdr:sp macro="" textlink="">
        <xdr:nvSpPr>
          <xdr:cNvPr id="48" name="TextBox 47">
            <a:extLst>
              <a:ext uri="{FF2B5EF4-FFF2-40B4-BE49-F238E27FC236}">
                <a16:creationId xmlns:a16="http://schemas.microsoft.com/office/drawing/2014/main" xmlns="" id="{C83FBF5E-7C10-415A-8137-53E133D76955}"/>
              </a:ext>
            </a:extLst>
          </xdr:cNvPr>
          <xdr:cNvSpPr txBox="1"/>
        </xdr:nvSpPr>
        <xdr:spPr>
          <a:xfrm>
            <a:off x="11521083" y="2647950"/>
            <a:ext cx="2608654" cy="498213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ctr">
            <a:noAutofit/>
          </a:bodyPr>
          <a:lstStyle/>
          <a:p>
            <a:pPr algn="ctr"/>
            <a:r>
              <a:rPr lang="en-US" sz="1200" b="1">
                <a:solidFill>
                  <a:schemeClr val="bg1"/>
                </a:solidFill>
              </a:rPr>
              <a:t>JUMLAH PENDUDUK BERDASARKAN JENIS KELAMIN</a:t>
            </a:r>
          </a:p>
        </xdr:txBody>
      </xdr:sp>
      <xdr:pic>
        <xdr:nvPicPr>
          <xdr:cNvPr id="49" name="Graphic 48" descr="User">
            <a:extLst>
              <a:ext uri="{FF2B5EF4-FFF2-40B4-BE49-F238E27FC236}">
                <a16:creationId xmlns:a16="http://schemas.microsoft.com/office/drawing/2014/main" xmlns="" id="{9BC22E4A-9962-4E79-B6B3-FA1EAA478E5A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xmlns="" r:embed="rId2"/>
              </a:ext>
            </a:extLst>
          </a:blip>
          <a:stretch>
            <a:fillRect/>
          </a:stretch>
        </xdr:blipFill>
        <xdr:spPr>
          <a:xfrm>
            <a:off x="12561686" y="2120503"/>
            <a:ext cx="527448" cy="527448"/>
          </a:xfrm>
          <a:prstGeom prst="rect">
            <a:avLst/>
          </a:prstGeom>
        </xdr:spPr>
      </xdr:pic>
    </xdr:grpSp>
    <xdr:clientData/>
  </xdr:twoCellAnchor>
  <xdr:twoCellAnchor>
    <xdr:from>
      <xdr:col>2</xdr:col>
      <xdr:colOff>66675</xdr:colOff>
      <xdr:row>1</xdr:row>
      <xdr:rowOff>34528</xdr:rowOff>
    </xdr:from>
    <xdr:to>
      <xdr:col>3</xdr:col>
      <xdr:colOff>515249</xdr:colOff>
      <xdr:row>8</xdr:row>
      <xdr:rowOff>146447</xdr:rowOff>
    </xdr:to>
    <xdr:grpSp>
      <xdr:nvGrpSpPr>
        <xdr:cNvPr id="77" name="Group 76">
          <a:extLst>
            <a:ext uri="{FF2B5EF4-FFF2-40B4-BE49-F238E27FC236}">
              <a16:creationId xmlns:a16="http://schemas.microsoft.com/office/drawing/2014/main" xmlns="" id="{19AD57E4-D76C-4846-B1BA-890271C5F9D9}"/>
            </a:ext>
          </a:extLst>
        </xdr:cNvPr>
        <xdr:cNvGrpSpPr/>
      </xdr:nvGrpSpPr>
      <xdr:grpSpPr>
        <a:xfrm>
          <a:off x="2352675" y="225028"/>
          <a:ext cx="1055793" cy="1445419"/>
          <a:chOff x="2352675" y="244078"/>
          <a:chExt cx="1058174" cy="1578769"/>
        </a:xfrm>
      </xdr:grpSpPr>
      <xdr:sp macro="" textlink="">
        <xdr:nvSpPr>
          <xdr:cNvPr id="18" name="Rectangle: Rounded Corners 17">
            <a:extLst>
              <a:ext uri="{FF2B5EF4-FFF2-40B4-BE49-F238E27FC236}">
                <a16:creationId xmlns:a16="http://schemas.microsoft.com/office/drawing/2014/main" xmlns="" id="{A2F0D706-C44A-4D20-8244-6293D5C07513}"/>
              </a:ext>
            </a:extLst>
          </xdr:cNvPr>
          <xdr:cNvSpPr/>
        </xdr:nvSpPr>
        <xdr:spPr>
          <a:xfrm>
            <a:off x="2352675" y="244078"/>
            <a:ext cx="1058174" cy="1578769"/>
          </a:xfrm>
          <a:prstGeom prst="roundRect">
            <a:avLst/>
          </a:prstGeom>
          <a:solidFill>
            <a:schemeClr val="accent6">
              <a:lumMod val="75000"/>
            </a:schemeClr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id-ID" sz="1100"/>
          </a:p>
        </xdr:txBody>
      </xdr:sp>
      <xdr:pic>
        <xdr:nvPicPr>
          <xdr:cNvPr id="17" name="Graphic 16" descr="User">
            <a:extLst>
              <a:ext uri="{FF2B5EF4-FFF2-40B4-BE49-F238E27FC236}">
                <a16:creationId xmlns:a16="http://schemas.microsoft.com/office/drawing/2014/main" xmlns="" id="{3FA416CC-77CA-46EC-A752-F8E7B036CB5E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xmlns="" r:embed="rId4"/>
              </a:ext>
            </a:extLst>
          </a:blip>
          <a:stretch>
            <a:fillRect/>
          </a:stretch>
        </xdr:blipFill>
        <xdr:spPr>
          <a:xfrm>
            <a:off x="2638425" y="291703"/>
            <a:ext cx="432000" cy="432000"/>
          </a:xfrm>
          <a:prstGeom prst="rect">
            <a:avLst/>
          </a:prstGeom>
        </xdr:spPr>
      </xdr:pic>
      <xdr:sp macro="" textlink="">
        <xdr:nvSpPr>
          <xdr:cNvPr id="19" name="TextBox 18">
            <a:extLst>
              <a:ext uri="{FF2B5EF4-FFF2-40B4-BE49-F238E27FC236}">
                <a16:creationId xmlns:a16="http://schemas.microsoft.com/office/drawing/2014/main" xmlns="" id="{4A9088F5-999D-4CAF-8B17-F38DAD68422E}"/>
              </a:ext>
            </a:extLst>
          </xdr:cNvPr>
          <xdr:cNvSpPr txBox="1"/>
        </xdr:nvSpPr>
        <xdr:spPr>
          <a:xfrm>
            <a:off x="2486026" y="1231105"/>
            <a:ext cx="818986" cy="492919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ctr">
            <a:noAutofit/>
          </a:bodyPr>
          <a:lstStyle/>
          <a:p>
            <a:pPr algn="ctr"/>
            <a:r>
              <a:rPr lang="id-ID" sz="1000" b="0">
                <a:solidFill>
                  <a:schemeClr val="bg1"/>
                </a:solidFill>
              </a:rPr>
              <a:t>Jumlah</a:t>
            </a:r>
            <a:r>
              <a:rPr lang="id-ID" sz="1000" b="0" baseline="0">
                <a:solidFill>
                  <a:schemeClr val="bg1"/>
                </a:solidFill>
              </a:rPr>
              <a:t> </a:t>
            </a:r>
            <a:endParaRPr lang="en-US" sz="1000" b="0" baseline="0">
              <a:solidFill>
                <a:schemeClr val="bg1"/>
              </a:solidFill>
            </a:endParaRPr>
          </a:p>
          <a:p>
            <a:pPr algn="ctr"/>
            <a:r>
              <a:rPr lang="id-ID" sz="1000" b="0" baseline="0">
                <a:solidFill>
                  <a:schemeClr val="bg1"/>
                </a:solidFill>
              </a:rPr>
              <a:t>Penduduk</a:t>
            </a:r>
            <a:endParaRPr lang="id-ID" sz="1000" b="0">
              <a:solidFill>
                <a:schemeClr val="bg1"/>
              </a:solidFill>
            </a:endParaRPr>
          </a:p>
        </xdr:txBody>
      </xdr:sp>
      <xdr:sp macro="" textlink="REKAPITULASI!$B$11">
        <xdr:nvSpPr>
          <xdr:cNvPr id="42" name="Rectangle 41">
            <a:extLst>
              <a:ext uri="{FF2B5EF4-FFF2-40B4-BE49-F238E27FC236}">
                <a16:creationId xmlns:a16="http://schemas.microsoft.com/office/drawing/2014/main" xmlns="" id="{4FA5E47F-A9AA-4A8C-803A-BA2438F00FF4}"/>
              </a:ext>
            </a:extLst>
          </xdr:cNvPr>
          <xdr:cNvSpPr/>
        </xdr:nvSpPr>
        <xdr:spPr>
          <a:xfrm>
            <a:off x="2602733" y="657225"/>
            <a:ext cx="561975" cy="685800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fld id="{22C2CE79-2B03-4FCB-8605-3BCE3FCB2507}" type="TxLink">
              <a:rPr lang="en-US" sz="2400" b="1" i="0" u="none" strike="noStrike">
                <a:solidFill>
                  <a:schemeClr val="bg1"/>
                </a:solidFill>
                <a:latin typeface="Roboto Condensed"/>
                <a:ea typeface="Roboto Condensed"/>
              </a:rPr>
              <a:t>3</a:t>
            </a:fld>
            <a:endParaRPr lang="en-US" sz="7200" b="1">
              <a:solidFill>
                <a:schemeClr val="bg1"/>
              </a:solidFill>
            </a:endParaRPr>
          </a:p>
        </xdr:txBody>
      </xdr:sp>
    </xdr:grpSp>
    <xdr:clientData/>
  </xdr:twoCellAnchor>
  <xdr:twoCellAnchor>
    <xdr:from>
      <xdr:col>4</xdr:col>
      <xdr:colOff>219075</xdr:colOff>
      <xdr:row>1</xdr:row>
      <xdr:rowOff>34528</xdr:rowOff>
    </xdr:from>
    <xdr:to>
      <xdr:col>6</xdr:col>
      <xdr:colOff>58049</xdr:colOff>
      <xdr:row>8</xdr:row>
      <xdr:rowOff>146447</xdr:rowOff>
    </xdr:to>
    <xdr:grpSp>
      <xdr:nvGrpSpPr>
        <xdr:cNvPr id="78" name="Group 77">
          <a:extLst>
            <a:ext uri="{FF2B5EF4-FFF2-40B4-BE49-F238E27FC236}">
              <a16:creationId xmlns:a16="http://schemas.microsoft.com/office/drawing/2014/main" xmlns="" id="{C342283A-55FE-43D5-B485-C22FC6A3F123}"/>
            </a:ext>
          </a:extLst>
        </xdr:cNvPr>
        <xdr:cNvGrpSpPr/>
      </xdr:nvGrpSpPr>
      <xdr:grpSpPr>
        <a:xfrm>
          <a:off x="3719513" y="225028"/>
          <a:ext cx="1053411" cy="1445419"/>
          <a:chOff x="3629025" y="244078"/>
          <a:chExt cx="1058174" cy="1578769"/>
        </a:xfrm>
      </xdr:grpSpPr>
      <xdr:sp macro="" textlink="">
        <xdr:nvSpPr>
          <xdr:cNvPr id="26" name="Rectangle: Rounded Corners 25">
            <a:extLst>
              <a:ext uri="{FF2B5EF4-FFF2-40B4-BE49-F238E27FC236}">
                <a16:creationId xmlns:a16="http://schemas.microsoft.com/office/drawing/2014/main" xmlns="" id="{D7294241-5155-4641-86CB-08ACB1035320}"/>
              </a:ext>
            </a:extLst>
          </xdr:cNvPr>
          <xdr:cNvSpPr/>
        </xdr:nvSpPr>
        <xdr:spPr>
          <a:xfrm>
            <a:off x="3629025" y="244078"/>
            <a:ext cx="1058174" cy="1578769"/>
          </a:xfrm>
          <a:prstGeom prst="roundRect">
            <a:avLst/>
          </a:prstGeom>
          <a:solidFill>
            <a:schemeClr val="accent3">
              <a:lumMod val="75000"/>
            </a:schemeClr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id-ID" sz="1100"/>
          </a:p>
        </xdr:txBody>
      </xdr:sp>
      <xdr:pic>
        <xdr:nvPicPr>
          <xdr:cNvPr id="27" name="Graphic 26" descr="Male profile">
            <a:extLst>
              <a:ext uri="{FF2B5EF4-FFF2-40B4-BE49-F238E27FC236}">
                <a16:creationId xmlns:a16="http://schemas.microsoft.com/office/drawing/2014/main" xmlns="" id="{D04600ED-801B-475B-944C-A09186CD23A5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5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xmlns="" r:embed="rId6"/>
              </a:ext>
            </a:extLst>
          </a:blip>
          <a:stretch>
            <a:fillRect/>
          </a:stretch>
        </xdr:blipFill>
        <xdr:spPr>
          <a:xfrm>
            <a:off x="3942112" y="291703"/>
            <a:ext cx="432000" cy="432000"/>
          </a:xfrm>
          <a:prstGeom prst="rect">
            <a:avLst/>
          </a:prstGeom>
        </xdr:spPr>
      </xdr:pic>
      <xdr:sp macro="" textlink="">
        <xdr:nvSpPr>
          <xdr:cNvPr id="29" name="TextBox 28">
            <a:extLst>
              <a:ext uri="{FF2B5EF4-FFF2-40B4-BE49-F238E27FC236}">
                <a16:creationId xmlns:a16="http://schemas.microsoft.com/office/drawing/2014/main" xmlns="" id="{783AEB73-F3D0-41F6-B04F-68469A2FB738}"/>
              </a:ext>
            </a:extLst>
          </xdr:cNvPr>
          <xdr:cNvSpPr txBox="1"/>
        </xdr:nvSpPr>
        <xdr:spPr>
          <a:xfrm>
            <a:off x="3743775" y="1239439"/>
            <a:ext cx="828675" cy="476250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ctr">
            <a:noAutofit/>
          </a:bodyPr>
          <a:lstStyle/>
          <a:p>
            <a:pPr marL="0" indent="0" algn="ctr"/>
            <a:r>
              <a:rPr lang="id-ID" sz="1000" b="0">
                <a:solidFill>
                  <a:schemeClr val="bg1"/>
                </a:solidFill>
                <a:latin typeface="+mn-lt"/>
                <a:ea typeface="+mn-ea"/>
                <a:cs typeface="+mn-cs"/>
              </a:rPr>
              <a:t>Jumlah </a:t>
            </a:r>
            <a:endParaRPr lang="en-US" sz="1000" b="0">
              <a:solidFill>
                <a:schemeClr val="bg1"/>
              </a:solidFill>
              <a:latin typeface="+mn-lt"/>
              <a:ea typeface="+mn-ea"/>
              <a:cs typeface="+mn-cs"/>
            </a:endParaRPr>
          </a:p>
          <a:p>
            <a:pPr marL="0" indent="0" algn="ctr"/>
            <a:r>
              <a:rPr lang="id-ID" sz="1000" b="0">
                <a:solidFill>
                  <a:schemeClr val="bg1"/>
                </a:solidFill>
                <a:latin typeface="+mn-lt"/>
                <a:ea typeface="+mn-ea"/>
                <a:cs typeface="+mn-cs"/>
              </a:rPr>
              <a:t>Laki - Laki</a:t>
            </a:r>
          </a:p>
        </xdr:txBody>
      </xdr:sp>
      <xdr:sp macro="" textlink="REKAPITULASI!$B$9">
        <xdr:nvSpPr>
          <xdr:cNvPr id="43" name="Rectangle 42">
            <a:extLst>
              <a:ext uri="{FF2B5EF4-FFF2-40B4-BE49-F238E27FC236}">
                <a16:creationId xmlns:a16="http://schemas.microsoft.com/office/drawing/2014/main" xmlns="" id="{81FFFA6B-3125-4D99-AF25-716D56A159EC}"/>
              </a:ext>
            </a:extLst>
          </xdr:cNvPr>
          <xdr:cNvSpPr/>
        </xdr:nvSpPr>
        <xdr:spPr>
          <a:xfrm>
            <a:off x="3877125" y="666750"/>
            <a:ext cx="561975" cy="685800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marL="0" indent="0" algn="ctr"/>
            <a:fld id="{4D909524-CCE6-43AC-B2BB-B08F98E343C1}" type="TxLink">
              <a:rPr lang="en-US" sz="2800" b="1" i="0" u="none" strike="noStrike">
                <a:solidFill>
                  <a:schemeClr val="bg1"/>
                </a:solidFill>
                <a:latin typeface="Roboto Condensed"/>
                <a:ea typeface="Roboto Condensed"/>
                <a:cs typeface="+mn-cs"/>
              </a:rPr>
              <a:t>2</a:t>
            </a:fld>
            <a:endParaRPr lang="en-US" sz="4800" b="1" i="0" u="none" strike="noStrike">
              <a:solidFill>
                <a:schemeClr val="bg1"/>
              </a:solidFill>
              <a:latin typeface="Roboto Condensed"/>
              <a:ea typeface="Roboto Condensed"/>
              <a:cs typeface="+mn-cs"/>
            </a:endParaRPr>
          </a:p>
        </xdr:txBody>
      </xdr:sp>
    </xdr:grpSp>
    <xdr:clientData/>
  </xdr:twoCellAnchor>
  <xdr:twoCellAnchor>
    <xdr:from>
      <xdr:col>6</xdr:col>
      <xdr:colOff>371475</xdr:colOff>
      <xdr:row>1</xdr:row>
      <xdr:rowOff>34528</xdr:rowOff>
    </xdr:from>
    <xdr:to>
      <xdr:col>8</xdr:col>
      <xdr:colOff>210449</xdr:colOff>
      <xdr:row>8</xdr:row>
      <xdr:rowOff>146447</xdr:rowOff>
    </xdr:to>
    <xdr:grpSp>
      <xdr:nvGrpSpPr>
        <xdr:cNvPr id="79" name="Group 78">
          <a:extLst>
            <a:ext uri="{FF2B5EF4-FFF2-40B4-BE49-F238E27FC236}">
              <a16:creationId xmlns:a16="http://schemas.microsoft.com/office/drawing/2014/main" xmlns="" id="{D39BB293-3C79-4ABB-8272-AFA7AA4D0254}"/>
            </a:ext>
          </a:extLst>
        </xdr:cNvPr>
        <xdr:cNvGrpSpPr/>
      </xdr:nvGrpSpPr>
      <xdr:grpSpPr>
        <a:xfrm>
          <a:off x="5086350" y="225028"/>
          <a:ext cx="1053412" cy="1445419"/>
          <a:chOff x="4905375" y="244078"/>
          <a:chExt cx="1058174" cy="1578769"/>
        </a:xfrm>
      </xdr:grpSpPr>
      <xdr:sp macro="" textlink="">
        <xdr:nvSpPr>
          <xdr:cNvPr id="33" name="Rectangle: Rounded Corners 32">
            <a:extLst>
              <a:ext uri="{FF2B5EF4-FFF2-40B4-BE49-F238E27FC236}">
                <a16:creationId xmlns:a16="http://schemas.microsoft.com/office/drawing/2014/main" xmlns="" id="{DA43B596-C67A-45F0-A2D1-1A23C56BFF90}"/>
              </a:ext>
            </a:extLst>
          </xdr:cNvPr>
          <xdr:cNvSpPr/>
        </xdr:nvSpPr>
        <xdr:spPr>
          <a:xfrm>
            <a:off x="4905375" y="244078"/>
            <a:ext cx="1058174" cy="1578769"/>
          </a:xfrm>
          <a:prstGeom prst="roundRect">
            <a:avLst/>
          </a:prstGeom>
          <a:solidFill>
            <a:schemeClr val="accent1">
              <a:lumMod val="60000"/>
              <a:lumOff val="40000"/>
            </a:schemeClr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id-ID" sz="1100"/>
          </a:p>
        </xdr:txBody>
      </xdr:sp>
      <xdr:sp macro="" textlink="">
        <xdr:nvSpPr>
          <xdr:cNvPr id="31" name="TextBox 30">
            <a:extLst>
              <a:ext uri="{FF2B5EF4-FFF2-40B4-BE49-F238E27FC236}">
                <a16:creationId xmlns:a16="http://schemas.microsoft.com/office/drawing/2014/main" xmlns="" id="{D7EF8877-17A6-4160-A45F-2512F539AA04}"/>
              </a:ext>
            </a:extLst>
          </xdr:cNvPr>
          <xdr:cNvSpPr txBox="1"/>
        </xdr:nvSpPr>
        <xdr:spPr>
          <a:xfrm>
            <a:off x="4996312" y="1256238"/>
            <a:ext cx="876300" cy="442652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ctr">
            <a:noAutofit/>
          </a:bodyPr>
          <a:lstStyle/>
          <a:p>
            <a:pPr marL="0" indent="0" algn="ctr"/>
            <a:r>
              <a:rPr lang="id-ID" sz="1000" b="0">
                <a:solidFill>
                  <a:schemeClr val="bg1"/>
                </a:solidFill>
                <a:latin typeface="+mn-lt"/>
                <a:ea typeface="+mn-ea"/>
                <a:cs typeface="+mn-cs"/>
              </a:rPr>
              <a:t>Jumlah </a:t>
            </a:r>
            <a:endParaRPr lang="en-US" sz="1000" b="0">
              <a:solidFill>
                <a:schemeClr val="bg1"/>
              </a:solidFill>
              <a:latin typeface="+mn-lt"/>
              <a:ea typeface="+mn-ea"/>
              <a:cs typeface="+mn-cs"/>
            </a:endParaRPr>
          </a:p>
          <a:p>
            <a:pPr marL="0" indent="0" algn="ctr"/>
            <a:r>
              <a:rPr lang="id-ID" sz="1000" b="0">
                <a:solidFill>
                  <a:schemeClr val="bg1"/>
                </a:solidFill>
                <a:latin typeface="+mn-lt"/>
                <a:ea typeface="+mn-ea"/>
                <a:cs typeface="+mn-cs"/>
              </a:rPr>
              <a:t>Perempuan</a:t>
            </a:r>
          </a:p>
        </xdr:txBody>
      </xdr:sp>
      <xdr:pic>
        <xdr:nvPicPr>
          <xdr:cNvPr id="32" name="Graphic 31" descr="Female Profile">
            <a:extLst>
              <a:ext uri="{FF2B5EF4-FFF2-40B4-BE49-F238E27FC236}">
                <a16:creationId xmlns:a16="http://schemas.microsoft.com/office/drawing/2014/main" xmlns="" id="{369A9DCA-12BB-4F86-85F4-4AF9BFB2D3AA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7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xmlns="" r:embed="rId8"/>
              </a:ext>
            </a:extLst>
          </a:blip>
          <a:stretch>
            <a:fillRect/>
          </a:stretch>
        </xdr:blipFill>
        <xdr:spPr>
          <a:xfrm>
            <a:off x="5218462" y="291703"/>
            <a:ext cx="432000" cy="432000"/>
          </a:xfrm>
          <a:prstGeom prst="rect">
            <a:avLst/>
          </a:prstGeom>
        </xdr:spPr>
      </xdr:pic>
      <xdr:sp macro="" textlink="REKAPITULASI!$B$10">
        <xdr:nvSpPr>
          <xdr:cNvPr id="44" name="Rectangle 43">
            <a:extLst>
              <a:ext uri="{FF2B5EF4-FFF2-40B4-BE49-F238E27FC236}">
                <a16:creationId xmlns:a16="http://schemas.microsoft.com/office/drawing/2014/main" xmlns="" id="{BF8A03EC-0099-463F-8A25-C04F2E662622}"/>
              </a:ext>
            </a:extLst>
          </xdr:cNvPr>
          <xdr:cNvSpPr/>
        </xdr:nvSpPr>
        <xdr:spPr>
          <a:xfrm>
            <a:off x="5153475" y="666750"/>
            <a:ext cx="561975" cy="685800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marL="0" indent="0" algn="ctr"/>
            <a:fld id="{DC0A8E68-F98F-44F4-A2C2-FD0ECA8C3724}" type="TxLink">
              <a:rPr lang="en-US" sz="2800" b="1" i="0" u="none" strike="noStrike">
                <a:solidFill>
                  <a:schemeClr val="bg1"/>
                </a:solidFill>
                <a:latin typeface="Roboto Condensed"/>
                <a:ea typeface="Roboto Condensed"/>
                <a:cs typeface="+mn-cs"/>
              </a:rPr>
              <a:t>1</a:t>
            </a:fld>
            <a:endParaRPr lang="en-US" sz="4800" b="1" i="0" u="none" strike="noStrike">
              <a:solidFill>
                <a:schemeClr val="bg1"/>
              </a:solidFill>
              <a:latin typeface="Roboto Condensed"/>
              <a:ea typeface="Roboto Condensed"/>
              <a:cs typeface="+mn-cs"/>
            </a:endParaRPr>
          </a:p>
        </xdr:txBody>
      </xdr:sp>
    </xdr:grpSp>
    <xdr:clientData/>
  </xdr:twoCellAnchor>
  <xdr:twoCellAnchor>
    <xdr:from>
      <xdr:col>8</xdr:col>
      <xdr:colOff>536668</xdr:colOff>
      <xdr:row>1</xdr:row>
      <xdr:rowOff>57150</xdr:rowOff>
    </xdr:from>
    <xdr:to>
      <xdr:col>16</xdr:col>
      <xdr:colOff>85723</xdr:colOff>
      <xdr:row>8</xdr:row>
      <xdr:rowOff>152401</xdr:rowOff>
    </xdr:to>
    <xdr:grpSp>
      <xdr:nvGrpSpPr>
        <xdr:cNvPr id="65" name="Group 64">
          <a:extLst>
            <a:ext uri="{FF2B5EF4-FFF2-40B4-BE49-F238E27FC236}">
              <a16:creationId xmlns:a16="http://schemas.microsoft.com/office/drawing/2014/main" xmlns="" id="{BD74F221-C538-4D09-8332-802760B63390}"/>
            </a:ext>
          </a:extLst>
        </xdr:cNvPr>
        <xdr:cNvGrpSpPr/>
      </xdr:nvGrpSpPr>
      <xdr:grpSpPr>
        <a:xfrm>
          <a:off x="6465981" y="247650"/>
          <a:ext cx="4406805" cy="1428751"/>
          <a:chOff x="6480268" y="266700"/>
          <a:chExt cx="4425855" cy="1562101"/>
        </a:xfrm>
      </xdr:grpSpPr>
      <xdr:grpSp>
        <xdr:nvGrpSpPr>
          <xdr:cNvPr id="7" name="Group 6">
            <a:extLst>
              <a:ext uri="{FF2B5EF4-FFF2-40B4-BE49-F238E27FC236}">
                <a16:creationId xmlns:a16="http://schemas.microsoft.com/office/drawing/2014/main" xmlns="" id="{776C8FCB-96A4-45C0-85CF-8452BF9BBFED}"/>
              </a:ext>
            </a:extLst>
          </xdr:cNvPr>
          <xdr:cNvGrpSpPr/>
        </xdr:nvGrpSpPr>
        <xdr:grpSpPr>
          <a:xfrm>
            <a:off x="6480268" y="266700"/>
            <a:ext cx="4425855" cy="1562101"/>
            <a:chOff x="6181724" y="266700"/>
            <a:chExt cx="2790826" cy="1032266"/>
          </a:xfrm>
        </xdr:grpSpPr>
        <xdr:grpSp>
          <xdr:nvGrpSpPr>
            <xdr:cNvPr id="54" name="Group 53">
              <a:extLst>
                <a:ext uri="{FF2B5EF4-FFF2-40B4-BE49-F238E27FC236}">
                  <a16:creationId xmlns:a16="http://schemas.microsoft.com/office/drawing/2014/main" xmlns="" id="{9C82DB80-C9B3-4699-A936-60BCE2B59E39}"/>
                </a:ext>
              </a:extLst>
            </xdr:cNvPr>
            <xdr:cNvGrpSpPr/>
          </xdr:nvGrpSpPr>
          <xdr:grpSpPr>
            <a:xfrm>
              <a:off x="6181724" y="266700"/>
              <a:ext cx="2790826" cy="1032266"/>
              <a:chOff x="2047874" y="647700"/>
              <a:chExt cx="2200275" cy="692891"/>
            </a:xfrm>
          </xdr:grpSpPr>
          <xdr:sp macro="" textlink="">
            <xdr:nvSpPr>
              <xdr:cNvPr id="56" name="Rectangle: Rounded Corners 55">
                <a:extLst>
                  <a:ext uri="{FF2B5EF4-FFF2-40B4-BE49-F238E27FC236}">
                    <a16:creationId xmlns:a16="http://schemas.microsoft.com/office/drawing/2014/main" xmlns="" id="{C4E2D3E4-0730-438D-B880-B88B9C7FFDD8}"/>
                  </a:ext>
                </a:extLst>
              </xdr:cNvPr>
              <xdr:cNvSpPr/>
            </xdr:nvSpPr>
            <xdr:spPr>
              <a:xfrm>
                <a:off x="2047874" y="647700"/>
                <a:ext cx="2200275" cy="692891"/>
              </a:xfrm>
              <a:prstGeom prst="roundRect">
                <a:avLst>
                  <a:gd name="adj" fmla="val 11179"/>
                </a:avLst>
              </a:prstGeom>
              <a:solidFill>
                <a:schemeClr val="accent3">
                  <a:lumMod val="75000"/>
                </a:schemeClr>
              </a:solidFill>
              <a:ln>
                <a:noFill/>
              </a:ln>
            </xdr:spPr>
            <xdr:style>
              <a:lnRef idx="2">
                <a:schemeClr val="accent1">
                  <a:shade val="50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t"/>
              <a:lstStyle/>
              <a:p>
                <a:pPr algn="l"/>
                <a:endParaRPr lang="id-ID" sz="1100"/>
              </a:p>
            </xdr:txBody>
          </xdr:sp>
          <xdr:sp macro="" textlink="">
            <xdr:nvSpPr>
              <xdr:cNvPr id="57" name="TextBox 56">
                <a:extLst>
                  <a:ext uri="{FF2B5EF4-FFF2-40B4-BE49-F238E27FC236}">
                    <a16:creationId xmlns:a16="http://schemas.microsoft.com/office/drawing/2014/main" xmlns="" id="{122D2390-669B-4FD7-A03E-9661BD6F48FA}"/>
                  </a:ext>
                </a:extLst>
              </xdr:cNvPr>
              <xdr:cNvSpPr txBox="1"/>
            </xdr:nvSpPr>
            <xdr:spPr>
              <a:xfrm>
                <a:off x="2145690" y="1142393"/>
                <a:ext cx="643947" cy="153444"/>
              </a:xfrm>
              <a:prstGeom prst="rect">
                <a:avLst/>
              </a:prstGeom>
              <a:noFill/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tx1"/>
              </a:fontRef>
            </xdr:style>
            <xdr:txBody>
              <a:bodyPr vertOverflow="clip" horzOverflow="clip" wrap="square" rtlCol="0" anchor="ctr">
                <a:noAutofit/>
              </a:bodyPr>
              <a:lstStyle/>
              <a:p>
                <a:pPr algn="ctr"/>
                <a:r>
                  <a:rPr lang="id-ID" sz="1100" b="0">
                    <a:solidFill>
                      <a:schemeClr val="bg1"/>
                    </a:solidFill>
                  </a:rPr>
                  <a:t>Jumlah Keluarga</a:t>
                </a:r>
              </a:p>
            </xdr:txBody>
          </xdr:sp>
        </xdr:grpSp>
        <xdr:pic>
          <xdr:nvPicPr>
            <xdr:cNvPr id="58" name="Graphic 57" descr="Family with two children">
              <a:extLst>
                <a:ext uri="{FF2B5EF4-FFF2-40B4-BE49-F238E27FC236}">
                  <a16:creationId xmlns:a16="http://schemas.microsoft.com/office/drawing/2014/main" xmlns="" id="{14C1F1A0-0813-4868-8D71-9F6BFBF12D26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9" cstate="print">
              <a:extLst>
                <a:ext uri="{28A0092B-C50C-407E-A947-70E740481C1C}">
                  <a14:useLocalDpi xmlns:a14="http://schemas.microsoft.com/office/drawing/2010/main" val="0"/>
                </a:ext>
                <a:ext uri="{96DAC541-7B7A-43D3-8B79-37D633B846F1}">
                  <asvg:svgBlip xmlns:asvg="http://schemas.microsoft.com/office/drawing/2016/SVG/main" xmlns="" r:embed="rId10"/>
                </a:ext>
              </a:extLst>
            </a:blip>
            <a:stretch>
              <a:fillRect/>
            </a:stretch>
          </xdr:blipFill>
          <xdr:spPr>
            <a:xfrm>
              <a:off x="6324600" y="364331"/>
              <a:ext cx="785850" cy="785850"/>
            </a:xfrm>
            <a:prstGeom prst="rect">
              <a:avLst/>
            </a:prstGeom>
          </xdr:spPr>
        </xdr:pic>
      </xdr:grpSp>
      <xdr:sp macro="" textlink="REKAPITULASI!$A$15">
        <xdr:nvSpPr>
          <xdr:cNvPr id="45" name="Rectangle 44">
            <a:extLst>
              <a:ext uri="{FF2B5EF4-FFF2-40B4-BE49-F238E27FC236}">
                <a16:creationId xmlns:a16="http://schemas.microsoft.com/office/drawing/2014/main" xmlns="" id="{E28CB012-83AF-4E06-B901-36B361380F46}"/>
              </a:ext>
            </a:extLst>
          </xdr:cNvPr>
          <xdr:cNvSpPr/>
        </xdr:nvSpPr>
        <xdr:spPr>
          <a:xfrm>
            <a:off x="7972425" y="676275"/>
            <a:ext cx="2667000" cy="685800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marL="0" indent="0" algn="ctr"/>
            <a:fld id="{6228A752-3707-4364-A342-2C56C59A8550}" type="TxLink">
              <a:rPr lang="en-US" sz="3600" b="1" i="0" u="none" strike="noStrike">
                <a:solidFill>
                  <a:schemeClr val="accent3">
                    <a:lumMod val="20000"/>
                    <a:lumOff val="80000"/>
                  </a:schemeClr>
                </a:solidFill>
                <a:latin typeface="Roboto Condensed"/>
                <a:ea typeface="Roboto Condensed"/>
                <a:cs typeface="+mn-cs"/>
              </a:rPr>
              <a:pPr marL="0" indent="0" algn="ctr"/>
              <a:t> </a:t>
            </a:fld>
            <a:endParaRPr lang="en-US" sz="6000" b="1" i="0" u="none" strike="noStrike">
              <a:solidFill>
                <a:schemeClr val="accent3">
                  <a:lumMod val="20000"/>
                  <a:lumOff val="80000"/>
                </a:schemeClr>
              </a:solidFill>
              <a:latin typeface="Roboto Condensed"/>
              <a:ea typeface="Roboto Condensed"/>
              <a:cs typeface="+mn-cs"/>
            </a:endParaRPr>
          </a:p>
        </xdr:txBody>
      </xdr:sp>
    </xdr:grpSp>
    <xdr:clientData/>
  </xdr:twoCellAnchor>
  <xdr:twoCellAnchor>
    <xdr:from>
      <xdr:col>2</xdr:col>
      <xdr:colOff>28576</xdr:colOff>
      <xdr:row>9</xdr:row>
      <xdr:rowOff>66676</xdr:rowOff>
    </xdr:from>
    <xdr:to>
      <xdr:col>16</xdr:col>
      <xdr:colOff>95250</xdr:colOff>
      <xdr:row>30</xdr:row>
      <xdr:rowOff>95250</xdr:rowOff>
    </xdr:to>
    <xdr:grpSp>
      <xdr:nvGrpSpPr>
        <xdr:cNvPr id="37" name="Group 36">
          <a:extLst>
            <a:ext uri="{FF2B5EF4-FFF2-40B4-BE49-F238E27FC236}">
              <a16:creationId xmlns:a16="http://schemas.microsoft.com/office/drawing/2014/main" xmlns="" id="{86B25863-E40C-48EC-816B-5914F761DCF4}"/>
            </a:ext>
          </a:extLst>
        </xdr:cNvPr>
        <xdr:cNvGrpSpPr/>
      </xdr:nvGrpSpPr>
      <xdr:grpSpPr>
        <a:xfrm>
          <a:off x="2314576" y="1781176"/>
          <a:ext cx="8567737" cy="4029074"/>
          <a:chOff x="2381251" y="2190751"/>
          <a:chExt cx="5638800" cy="3076574"/>
        </a:xfrm>
      </xdr:grpSpPr>
      <xdr:sp macro="" textlink="">
        <xdr:nvSpPr>
          <xdr:cNvPr id="60" name="Rectangle: Rounded Corners 59">
            <a:extLst>
              <a:ext uri="{FF2B5EF4-FFF2-40B4-BE49-F238E27FC236}">
                <a16:creationId xmlns:a16="http://schemas.microsoft.com/office/drawing/2014/main" xmlns="" id="{43E79F2B-B87C-4553-AD44-EC4DA19085D4}"/>
              </a:ext>
            </a:extLst>
          </xdr:cNvPr>
          <xdr:cNvSpPr/>
        </xdr:nvSpPr>
        <xdr:spPr>
          <a:xfrm>
            <a:off x="2381251" y="2190751"/>
            <a:ext cx="5638800" cy="3076574"/>
          </a:xfrm>
          <a:prstGeom prst="roundRect">
            <a:avLst>
              <a:gd name="adj" fmla="val 4137"/>
            </a:avLst>
          </a:prstGeom>
          <a:solidFill>
            <a:schemeClr val="accent2">
              <a:lumMod val="75000"/>
            </a:schemeClr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id-ID" sz="1100"/>
          </a:p>
        </xdr:txBody>
      </xdr:sp>
      <xdr:sp macro="" textlink="">
        <xdr:nvSpPr>
          <xdr:cNvPr id="23" name="TextBox 22">
            <a:extLst>
              <a:ext uri="{FF2B5EF4-FFF2-40B4-BE49-F238E27FC236}">
                <a16:creationId xmlns:a16="http://schemas.microsoft.com/office/drawing/2014/main" xmlns="" id="{72C9B3CC-2E1D-4F31-8457-F32054F5C1B2}"/>
              </a:ext>
            </a:extLst>
          </xdr:cNvPr>
          <xdr:cNvSpPr txBox="1"/>
        </xdr:nvSpPr>
        <xdr:spPr>
          <a:xfrm>
            <a:off x="2962275" y="2381250"/>
            <a:ext cx="2913730" cy="299082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n-US" sz="2000" b="1">
                <a:solidFill>
                  <a:schemeClr val="bg1"/>
                </a:solidFill>
              </a:rPr>
              <a:t>JUMLAH PENDUDUK BERDASARKAN USIA</a:t>
            </a:r>
          </a:p>
        </xdr:txBody>
      </xdr:sp>
      <xdr:pic>
        <xdr:nvPicPr>
          <xdr:cNvPr id="47" name="Graphic 46" descr="User">
            <a:extLst>
              <a:ext uri="{FF2B5EF4-FFF2-40B4-BE49-F238E27FC236}">
                <a16:creationId xmlns:a16="http://schemas.microsoft.com/office/drawing/2014/main" xmlns="" id="{13980F0F-1DBC-4F9C-A6F4-1EEA19FB6928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xmlns="" r:embed="rId2"/>
              </a:ext>
            </a:extLst>
          </a:blip>
          <a:stretch>
            <a:fillRect/>
          </a:stretch>
        </xdr:blipFill>
        <xdr:spPr>
          <a:xfrm>
            <a:off x="2466975" y="2244328"/>
            <a:ext cx="527448" cy="527448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0</xdr:colOff>
      <xdr:row>9</xdr:row>
      <xdr:rowOff>104774</xdr:rowOff>
    </xdr:from>
    <xdr:to>
      <xdr:col>1</xdr:col>
      <xdr:colOff>0</xdr:colOff>
      <xdr:row>11</xdr:row>
      <xdr:rowOff>95249</xdr:rowOff>
    </xdr:to>
    <xdr:grpSp>
      <xdr:nvGrpSpPr>
        <xdr:cNvPr id="8" name="Group 7">
          <a:extLst>
            <a:ext uri="{FF2B5EF4-FFF2-40B4-BE49-F238E27FC236}">
              <a16:creationId xmlns:a16="http://schemas.microsoft.com/office/drawing/2014/main" xmlns="" id="{59D29B37-9675-42A1-8C2A-35BEC9555709}"/>
            </a:ext>
          </a:extLst>
        </xdr:cNvPr>
        <xdr:cNvGrpSpPr/>
      </xdr:nvGrpSpPr>
      <xdr:grpSpPr>
        <a:xfrm>
          <a:off x="0" y="1819274"/>
          <a:ext cx="2035969" cy="371475"/>
          <a:chOff x="0" y="1990724"/>
          <a:chExt cx="2038350" cy="409575"/>
        </a:xfrm>
      </xdr:grpSpPr>
      <xdr:sp macro="[0]!TambahPenduduk" textlink="">
        <xdr:nvSpPr>
          <xdr:cNvPr id="2" name="Rectangle 1">
            <a:extLst>
              <a:ext uri="{FF2B5EF4-FFF2-40B4-BE49-F238E27FC236}">
                <a16:creationId xmlns:a16="http://schemas.microsoft.com/office/drawing/2014/main" xmlns="" id="{7954EE08-0597-4ADF-A809-143B4A9E69D1}"/>
              </a:ext>
            </a:extLst>
          </xdr:cNvPr>
          <xdr:cNvSpPr/>
        </xdr:nvSpPr>
        <xdr:spPr>
          <a:xfrm>
            <a:off x="0" y="1990724"/>
            <a:ext cx="2038350" cy="409575"/>
          </a:xfrm>
          <a:prstGeom prst="rect">
            <a:avLst/>
          </a:prstGeom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200"/>
              <a:t>Tambah Penduduk</a:t>
            </a:r>
          </a:p>
        </xdr:txBody>
      </xdr:sp>
      <xdr:pic macro="[0]!TambahPenduduk">
        <xdr:nvPicPr>
          <xdr:cNvPr id="6" name="Graphic 5" descr="Users">
            <a:extLst>
              <a:ext uri="{FF2B5EF4-FFF2-40B4-BE49-F238E27FC236}">
                <a16:creationId xmlns:a16="http://schemas.microsoft.com/office/drawing/2014/main" xmlns="" id="{C4BEC242-6EB8-495C-A27B-024F38C07A96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2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xmlns="" r:embed="rId14"/>
              </a:ext>
            </a:extLst>
          </a:blip>
          <a:stretch>
            <a:fillRect/>
          </a:stretch>
        </xdr:blipFill>
        <xdr:spPr>
          <a:xfrm>
            <a:off x="47625" y="2028825"/>
            <a:ext cx="361950" cy="36195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0</xdr:colOff>
      <xdr:row>12</xdr:row>
      <xdr:rowOff>88105</xdr:rowOff>
    </xdr:from>
    <xdr:to>
      <xdr:col>1</xdr:col>
      <xdr:colOff>0</xdr:colOff>
      <xdr:row>14</xdr:row>
      <xdr:rowOff>78580</xdr:rowOff>
    </xdr:to>
    <xdr:grpSp>
      <xdr:nvGrpSpPr>
        <xdr:cNvPr id="3" name="Group 2">
          <a:extLst>
            <a:ext uri="{FF2B5EF4-FFF2-40B4-BE49-F238E27FC236}">
              <a16:creationId xmlns:a16="http://schemas.microsoft.com/office/drawing/2014/main" xmlns="" id="{5C87AB11-6AD3-4DDC-BB0C-18F02B19CA65}"/>
            </a:ext>
          </a:extLst>
        </xdr:cNvPr>
        <xdr:cNvGrpSpPr/>
      </xdr:nvGrpSpPr>
      <xdr:grpSpPr>
        <a:xfrm>
          <a:off x="0" y="2374105"/>
          <a:ext cx="2035969" cy="371475"/>
          <a:chOff x="0" y="2562224"/>
          <a:chExt cx="2038350" cy="409575"/>
        </a:xfrm>
      </xdr:grpSpPr>
      <xdr:sp macro="[0]!Meninggal" textlink="">
        <xdr:nvSpPr>
          <xdr:cNvPr id="40" name="Rectangle 39">
            <a:extLst>
              <a:ext uri="{FF2B5EF4-FFF2-40B4-BE49-F238E27FC236}">
                <a16:creationId xmlns:a16="http://schemas.microsoft.com/office/drawing/2014/main" xmlns="" id="{6F6DACBC-7902-46B9-9CD1-5895A88C07AE}"/>
              </a:ext>
            </a:extLst>
          </xdr:cNvPr>
          <xdr:cNvSpPr/>
        </xdr:nvSpPr>
        <xdr:spPr>
          <a:xfrm>
            <a:off x="0" y="2562224"/>
            <a:ext cx="2038350" cy="409575"/>
          </a:xfrm>
          <a:prstGeom prst="rect">
            <a:avLst/>
          </a:prstGeom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200"/>
              <a:t>Meninggal</a:t>
            </a:r>
          </a:p>
        </xdr:txBody>
      </xdr:sp>
      <xdr:pic>
        <xdr:nvPicPr>
          <xdr:cNvPr id="12" name="Graphic 11" descr="Gravestone">
            <a:extLst>
              <a:ext uri="{FF2B5EF4-FFF2-40B4-BE49-F238E27FC236}">
                <a16:creationId xmlns:a16="http://schemas.microsoft.com/office/drawing/2014/main" xmlns="" id="{335EFF7F-AC96-4AC2-881C-86806D29E0EF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5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xmlns="" r:embed="rId16"/>
              </a:ext>
            </a:extLst>
          </a:blip>
          <a:stretch>
            <a:fillRect/>
          </a:stretch>
        </xdr:blipFill>
        <xdr:spPr>
          <a:xfrm>
            <a:off x="9526" y="2590800"/>
            <a:ext cx="352426" cy="352426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0</xdr:colOff>
      <xdr:row>15</xdr:row>
      <xdr:rowOff>71436</xdr:rowOff>
    </xdr:from>
    <xdr:to>
      <xdr:col>1</xdr:col>
      <xdr:colOff>0</xdr:colOff>
      <xdr:row>17</xdr:row>
      <xdr:rowOff>61911</xdr:rowOff>
    </xdr:to>
    <xdr:grpSp>
      <xdr:nvGrpSpPr>
        <xdr:cNvPr id="5" name="Group 4">
          <a:extLst>
            <a:ext uri="{FF2B5EF4-FFF2-40B4-BE49-F238E27FC236}">
              <a16:creationId xmlns:a16="http://schemas.microsoft.com/office/drawing/2014/main" xmlns="" id="{8F2E90D6-612D-48F8-A89F-377CBBE2F393}"/>
            </a:ext>
          </a:extLst>
        </xdr:cNvPr>
        <xdr:cNvGrpSpPr/>
      </xdr:nvGrpSpPr>
      <xdr:grpSpPr>
        <a:xfrm>
          <a:off x="0" y="2928936"/>
          <a:ext cx="2035969" cy="371475"/>
          <a:chOff x="0" y="3152774"/>
          <a:chExt cx="2038350" cy="409575"/>
        </a:xfrm>
      </xdr:grpSpPr>
      <xdr:sp macro="[0]!Pindah" textlink="">
        <xdr:nvSpPr>
          <xdr:cNvPr id="50" name="Rectangle 49">
            <a:extLst>
              <a:ext uri="{FF2B5EF4-FFF2-40B4-BE49-F238E27FC236}">
                <a16:creationId xmlns:a16="http://schemas.microsoft.com/office/drawing/2014/main" xmlns="" id="{89B4A94D-21A6-4B3C-9E2E-51F409A9A2B9}"/>
              </a:ext>
            </a:extLst>
          </xdr:cNvPr>
          <xdr:cNvSpPr/>
        </xdr:nvSpPr>
        <xdr:spPr>
          <a:xfrm>
            <a:off x="0" y="3152774"/>
            <a:ext cx="2038350" cy="409575"/>
          </a:xfrm>
          <a:prstGeom prst="rect">
            <a:avLst/>
          </a:prstGeom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200"/>
              <a:t>Pindah</a:t>
            </a:r>
          </a:p>
        </xdr:txBody>
      </xdr:sp>
      <xdr:pic macro="[0]!Pindah">
        <xdr:nvPicPr>
          <xdr:cNvPr id="16" name="Graphic 15" descr="Transfer">
            <a:extLst>
              <a:ext uri="{FF2B5EF4-FFF2-40B4-BE49-F238E27FC236}">
                <a16:creationId xmlns:a16="http://schemas.microsoft.com/office/drawing/2014/main" xmlns="" id="{49E73F7E-A614-48D1-A7F3-80CB67463038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7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xmlns="" r:embed="rId18"/>
              </a:ext>
            </a:extLst>
          </a:blip>
          <a:stretch>
            <a:fillRect/>
          </a:stretch>
        </xdr:blipFill>
        <xdr:spPr>
          <a:xfrm>
            <a:off x="47625" y="3198000"/>
            <a:ext cx="354825" cy="354825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0</xdr:colOff>
      <xdr:row>18</xdr:row>
      <xdr:rowOff>54767</xdr:rowOff>
    </xdr:from>
    <xdr:to>
      <xdr:col>1</xdr:col>
      <xdr:colOff>0</xdr:colOff>
      <xdr:row>20</xdr:row>
      <xdr:rowOff>45242</xdr:rowOff>
    </xdr:to>
    <xdr:grpSp>
      <xdr:nvGrpSpPr>
        <xdr:cNvPr id="30" name="Group 29">
          <a:extLst>
            <a:ext uri="{FF2B5EF4-FFF2-40B4-BE49-F238E27FC236}">
              <a16:creationId xmlns:a16="http://schemas.microsoft.com/office/drawing/2014/main" xmlns="" id="{70BC6374-F3DA-4971-B9E4-C50D8AB41CB6}"/>
            </a:ext>
          </a:extLst>
        </xdr:cNvPr>
        <xdr:cNvGrpSpPr/>
      </xdr:nvGrpSpPr>
      <xdr:grpSpPr>
        <a:xfrm>
          <a:off x="0" y="3483767"/>
          <a:ext cx="2035969" cy="371475"/>
          <a:chOff x="0" y="3826667"/>
          <a:chExt cx="2038350" cy="409575"/>
        </a:xfrm>
      </xdr:grpSpPr>
      <xdr:sp macro="[0]!Simpan" textlink="">
        <xdr:nvSpPr>
          <xdr:cNvPr id="62" name="Rectangle 61">
            <a:extLst>
              <a:ext uri="{FF2B5EF4-FFF2-40B4-BE49-F238E27FC236}">
                <a16:creationId xmlns:a16="http://schemas.microsoft.com/office/drawing/2014/main" xmlns="" id="{865CD4B3-B642-4231-9A00-EB4280878E43}"/>
              </a:ext>
            </a:extLst>
          </xdr:cNvPr>
          <xdr:cNvSpPr/>
        </xdr:nvSpPr>
        <xdr:spPr>
          <a:xfrm>
            <a:off x="0" y="3826667"/>
            <a:ext cx="2038350" cy="409575"/>
          </a:xfrm>
          <a:prstGeom prst="rect">
            <a:avLst/>
          </a:prstGeom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200"/>
              <a:t>Simpan </a:t>
            </a:r>
          </a:p>
        </xdr:txBody>
      </xdr:sp>
      <xdr:pic macro="[0]!Simpan">
        <xdr:nvPicPr>
          <xdr:cNvPr id="22" name="Graphic 21" descr="Download">
            <a:extLst>
              <a:ext uri="{FF2B5EF4-FFF2-40B4-BE49-F238E27FC236}">
                <a16:creationId xmlns:a16="http://schemas.microsoft.com/office/drawing/2014/main" xmlns="" id="{CF97145B-0D8F-44FA-9A9F-FC0A1E1C14F1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9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xmlns="" r:embed="rId20"/>
              </a:ext>
            </a:extLst>
          </a:blip>
          <a:stretch>
            <a:fillRect/>
          </a:stretch>
        </xdr:blipFill>
        <xdr:spPr>
          <a:xfrm>
            <a:off x="47625" y="3876675"/>
            <a:ext cx="295275" cy="295275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0</xdr:colOff>
      <xdr:row>21</xdr:row>
      <xdr:rowOff>38099</xdr:rowOff>
    </xdr:from>
    <xdr:to>
      <xdr:col>1</xdr:col>
      <xdr:colOff>0</xdr:colOff>
      <xdr:row>23</xdr:row>
      <xdr:rowOff>28574</xdr:rowOff>
    </xdr:to>
    <xdr:grpSp>
      <xdr:nvGrpSpPr>
        <xdr:cNvPr id="28" name="Group 27">
          <a:extLst>
            <a:ext uri="{FF2B5EF4-FFF2-40B4-BE49-F238E27FC236}">
              <a16:creationId xmlns:a16="http://schemas.microsoft.com/office/drawing/2014/main" xmlns="" id="{3E14D571-0D21-4447-89F4-C358A282B53C}"/>
            </a:ext>
          </a:extLst>
        </xdr:cNvPr>
        <xdr:cNvGrpSpPr/>
      </xdr:nvGrpSpPr>
      <xdr:grpSpPr>
        <a:xfrm>
          <a:off x="0" y="4038599"/>
          <a:ext cx="2035969" cy="371475"/>
          <a:chOff x="0" y="4933949"/>
          <a:chExt cx="2038350" cy="409575"/>
        </a:xfrm>
      </xdr:grpSpPr>
      <xdr:sp macro="[0]!Keluar" textlink="">
        <xdr:nvSpPr>
          <xdr:cNvPr id="64" name="Rectangle 63">
            <a:extLst>
              <a:ext uri="{FF2B5EF4-FFF2-40B4-BE49-F238E27FC236}">
                <a16:creationId xmlns:a16="http://schemas.microsoft.com/office/drawing/2014/main" xmlns="" id="{8B4D39BE-44B6-4B9A-B4E6-5D10221320F3}"/>
              </a:ext>
            </a:extLst>
          </xdr:cNvPr>
          <xdr:cNvSpPr/>
        </xdr:nvSpPr>
        <xdr:spPr>
          <a:xfrm>
            <a:off x="0" y="4933949"/>
            <a:ext cx="2038350" cy="409575"/>
          </a:xfrm>
          <a:prstGeom prst="rect">
            <a:avLst/>
          </a:prstGeom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200"/>
              <a:t>Keluar </a:t>
            </a:r>
          </a:p>
        </xdr:txBody>
      </xdr:sp>
      <xdr:pic macro="[0]!Keluar">
        <xdr:nvPicPr>
          <xdr:cNvPr id="25" name="Graphic 24" descr="Close">
            <a:extLst>
              <a:ext uri="{FF2B5EF4-FFF2-40B4-BE49-F238E27FC236}">
                <a16:creationId xmlns:a16="http://schemas.microsoft.com/office/drawing/2014/main" xmlns="" id="{A938DFFC-7A67-48E7-9A64-C42CCDCDC4C8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xmlns="" r:embed="rId22"/>
              </a:ext>
            </a:extLst>
          </a:blip>
          <a:stretch>
            <a:fillRect/>
          </a:stretch>
        </xdr:blipFill>
        <xdr:spPr>
          <a:xfrm>
            <a:off x="19050" y="4981575"/>
            <a:ext cx="323850" cy="323850"/>
          </a:xfrm>
          <a:prstGeom prst="rect">
            <a:avLst/>
          </a:prstGeom>
        </xdr:spPr>
      </xdr:pic>
    </xdr:grpSp>
    <xdr:clientData/>
  </xdr:twoCellAnchor>
  <xdr:twoCellAnchor>
    <xdr:from>
      <xdr:col>16</xdr:col>
      <xdr:colOff>295275</xdr:colOff>
      <xdr:row>1</xdr:row>
      <xdr:rowOff>76200</xdr:rowOff>
    </xdr:from>
    <xdr:to>
      <xdr:col>19</xdr:col>
      <xdr:colOff>76200</xdr:colOff>
      <xdr:row>8</xdr:row>
      <xdr:rowOff>171451</xdr:rowOff>
    </xdr:to>
    <xdr:sp macro="" textlink="">
      <xdr:nvSpPr>
        <xdr:cNvPr id="66" name="Rectangle: Rounded Corners 65">
          <a:extLst>
            <a:ext uri="{FF2B5EF4-FFF2-40B4-BE49-F238E27FC236}">
              <a16:creationId xmlns:a16="http://schemas.microsoft.com/office/drawing/2014/main" xmlns="" id="{8BC9E43F-9AC0-4E55-8BA8-957E537F87FA}"/>
            </a:ext>
          </a:extLst>
        </xdr:cNvPr>
        <xdr:cNvSpPr/>
      </xdr:nvSpPr>
      <xdr:spPr>
        <a:xfrm>
          <a:off x="11115675" y="285750"/>
          <a:ext cx="1609725" cy="1562101"/>
        </a:xfrm>
        <a:prstGeom prst="roundRect">
          <a:avLst>
            <a:gd name="adj" fmla="val 10589"/>
          </a:avLst>
        </a:prstGeom>
        <a:solidFill>
          <a:schemeClr val="accent3">
            <a:lumMod val="75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id-ID" sz="1100"/>
        </a:p>
      </xdr:txBody>
    </xdr:sp>
    <xdr:clientData/>
  </xdr:twoCellAnchor>
  <xdr:twoCellAnchor>
    <xdr:from>
      <xdr:col>17</xdr:col>
      <xdr:colOff>276223</xdr:colOff>
      <xdr:row>1</xdr:row>
      <xdr:rowOff>142876</xdr:rowOff>
    </xdr:from>
    <xdr:to>
      <xdr:col>18</xdr:col>
      <xdr:colOff>66675</xdr:colOff>
      <xdr:row>3</xdr:row>
      <xdr:rowOff>123828</xdr:rowOff>
    </xdr:to>
    <xdr:pic>
      <xdr:nvPicPr>
        <xdr:cNvPr id="68" name="Graphic 67" descr="Gravestone">
          <a:extLst>
            <a:ext uri="{FF2B5EF4-FFF2-40B4-BE49-F238E27FC236}">
              <a16:creationId xmlns:a16="http://schemas.microsoft.com/office/drawing/2014/main" xmlns="" id="{3C41784A-3160-4C77-B8CC-7FDD9CF92A6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xmlns="" r:embed="rId16"/>
            </a:ext>
          </a:extLst>
        </a:blip>
        <a:stretch>
          <a:fillRect/>
        </a:stretch>
      </xdr:blipFill>
      <xdr:spPr>
        <a:xfrm>
          <a:off x="11706223" y="352426"/>
          <a:ext cx="400052" cy="400052"/>
        </a:xfrm>
        <a:prstGeom prst="rect">
          <a:avLst/>
        </a:prstGeom>
      </xdr:spPr>
    </xdr:pic>
    <xdr:clientData/>
  </xdr:twoCellAnchor>
  <xdr:twoCellAnchor>
    <xdr:from>
      <xdr:col>16</xdr:col>
      <xdr:colOff>314223</xdr:colOff>
      <xdr:row>7</xdr:row>
      <xdr:rowOff>38100</xdr:rowOff>
    </xdr:from>
    <xdr:to>
      <xdr:col>19</xdr:col>
      <xdr:colOff>104775</xdr:colOff>
      <xdr:row>8</xdr:row>
      <xdr:rowOff>95250</xdr:rowOff>
    </xdr:to>
    <xdr:sp macro="" textlink="">
      <xdr:nvSpPr>
        <xdr:cNvPr id="69" name="TextBox 68">
          <a:extLst>
            <a:ext uri="{FF2B5EF4-FFF2-40B4-BE49-F238E27FC236}">
              <a16:creationId xmlns:a16="http://schemas.microsoft.com/office/drawing/2014/main" xmlns="" id="{9C916220-D9DD-412A-B088-C3F2F7A95A0F}"/>
            </a:ext>
          </a:extLst>
        </xdr:cNvPr>
        <xdr:cNvSpPr txBox="1"/>
      </xdr:nvSpPr>
      <xdr:spPr>
        <a:xfrm>
          <a:off x="11134623" y="1504950"/>
          <a:ext cx="1619352" cy="26670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ctr">
          <a:noAutofit/>
        </a:bodyPr>
        <a:lstStyle/>
        <a:p>
          <a:pPr algn="ctr"/>
          <a:r>
            <a:rPr lang="en-US" sz="1100" b="0">
              <a:solidFill>
                <a:schemeClr val="bg1"/>
              </a:solidFill>
            </a:rPr>
            <a:t>Penduduk</a:t>
          </a:r>
          <a:r>
            <a:rPr lang="en-US" sz="1100" b="0" baseline="0">
              <a:solidFill>
                <a:schemeClr val="bg1"/>
              </a:solidFill>
            </a:rPr>
            <a:t> Meninggal</a:t>
          </a:r>
          <a:endParaRPr lang="id-ID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19</xdr:col>
      <xdr:colOff>219075</xdr:colOff>
      <xdr:row>1</xdr:row>
      <xdr:rowOff>85725</xdr:rowOff>
    </xdr:from>
    <xdr:to>
      <xdr:col>22</xdr:col>
      <xdr:colOff>47625</xdr:colOff>
      <xdr:row>8</xdr:row>
      <xdr:rowOff>180976</xdr:rowOff>
    </xdr:to>
    <xdr:grpSp>
      <xdr:nvGrpSpPr>
        <xdr:cNvPr id="75" name="Group 74">
          <a:extLst>
            <a:ext uri="{FF2B5EF4-FFF2-40B4-BE49-F238E27FC236}">
              <a16:creationId xmlns:a16="http://schemas.microsoft.com/office/drawing/2014/main" xmlns="" id="{9BBEB7B2-84E2-479C-8F86-63027A0B6EE9}"/>
            </a:ext>
          </a:extLst>
        </xdr:cNvPr>
        <xdr:cNvGrpSpPr/>
      </xdr:nvGrpSpPr>
      <xdr:grpSpPr>
        <a:xfrm>
          <a:off x="12827794" y="276225"/>
          <a:ext cx="1650206" cy="1428751"/>
          <a:chOff x="12811125" y="295275"/>
          <a:chExt cx="1657350" cy="1562101"/>
        </a:xfrm>
      </xdr:grpSpPr>
      <xdr:sp macro="" textlink="">
        <xdr:nvSpPr>
          <xdr:cNvPr id="71" name="Rectangle: Rounded Corners 70">
            <a:extLst>
              <a:ext uri="{FF2B5EF4-FFF2-40B4-BE49-F238E27FC236}">
                <a16:creationId xmlns:a16="http://schemas.microsoft.com/office/drawing/2014/main" xmlns="" id="{EDDCF335-1E95-4B36-B539-EBCBBA9776BD}"/>
              </a:ext>
            </a:extLst>
          </xdr:cNvPr>
          <xdr:cNvSpPr/>
        </xdr:nvSpPr>
        <xdr:spPr>
          <a:xfrm>
            <a:off x="12811125" y="295275"/>
            <a:ext cx="1609725" cy="1562101"/>
          </a:xfrm>
          <a:prstGeom prst="roundRect">
            <a:avLst>
              <a:gd name="adj" fmla="val 10589"/>
            </a:avLst>
          </a:prstGeom>
          <a:solidFill>
            <a:schemeClr val="accent3">
              <a:lumMod val="75000"/>
            </a:schemeClr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id-ID" sz="1100"/>
          </a:p>
        </xdr:txBody>
      </xdr:sp>
      <xdr:sp macro="" textlink="">
        <xdr:nvSpPr>
          <xdr:cNvPr id="73" name="TextBox 72">
            <a:extLst>
              <a:ext uri="{FF2B5EF4-FFF2-40B4-BE49-F238E27FC236}">
                <a16:creationId xmlns:a16="http://schemas.microsoft.com/office/drawing/2014/main" xmlns="" id="{A8AE0E44-90D5-4153-ADDD-362AF2733D28}"/>
              </a:ext>
            </a:extLst>
          </xdr:cNvPr>
          <xdr:cNvSpPr txBox="1"/>
        </xdr:nvSpPr>
        <xdr:spPr>
          <a:xfrm>
            <a:off x="12849123" y="1514475"/>
            <a:ext cx="1619352" cy="266700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ctr">
            <a:noAutofit/>
          </a:bodyPr>
          <a:lstStyle/>
          <a:p>
            <a:pPr algn="ctr"/>
            <a:r>
              <a:rPr lang="en-US" sz="1100" b="0">
                <a:solidFill>
                  <a:schemeClr val="bg1"/>
                </a:solidFill>
              </a:rPr>
              <a:t>Penduduk</a:t>
            </a:r>
            <a:r>
              <a:rPr lang="en-US" sz="1100" b="0" baseline="0">
                <a:solidFill>
                  <a:schemeClr val="bg1"/>
                </a:solidFill>
              </a:rPr>
              <a:t> Pindah</a:t>
            </a:r>
            <a:endParaRPr lang="id-ID" sz="1100" b="0">
              <a:solidFill>
                <a:schemeClr val="bg1"/>
              </a:solidFill>
            </a:endParaRPr>
          </a:p>
        </xdr:txBody>
      </xdr:sp>
      <xdr:pic>
        <xdr:nvPicPr>
          <xdr:cNvPr id="74" name="Graphic 73" descr="Transfer">
            <a:extLst>
              <a:ext uri="{FF2B5EF4-FFF2-40B4-BE49-F238E27FC236}">
                <a16:creationId xmlns:a16="http://schemas.microsoft.com/office/drawing/2014/main" xmlns="" id="{9C08EA72-BCFF-4E38-AE35-5CDCE616D153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4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xmlns="" r:embed="rId18"/>
              </a:ext>
            </a:extLst>
          </a:blip>
          <a:stretch>
            <a:fillRect/>
          </a:stretch>
        </xdr:blipFill>
        <xdr:spPr>
          <a:xfrm>
            <a:off x="13449300" y="352425"/>
            <a:ext cx="354825" cy="354825"/>
          </a:xfrm>
          <a:prstGeom prst="rect">
            <a:avLst/>
          </a:prstGeom>
        </xdr:spPr>
      </xdr:pic>
    </xdr:grpSp>
    <xdr:clientData/>
  </xdr:twoCellAnchor>
  <xdr:twoCellAnchor>
    <xdr:from>
      <xdr:col>13</xdr:col>
      <xdr:colOff>352425</xdr:colOff>
      <xdr:row>10</xdr:row>
      <xdr:rowOff>57150</xdr:rowOff>
    </xdr:from>
    <xdr:to>
      <xdr:col>15</xdr:col>
      <xdr:colOff>428625</xdr:colOff>
      <xdr:row>12</xdr:row>
      <xdr:rowOff>47625</xdr:rowOff>
    </xdr:to>
    <xdr:sp macro="[0]!BukaFormTabel" textlink="">
      <xdr:nvSpPr>
        <xdr:cNvPr id="10" name="Rectangle: Rounded Corners 9">
          <a:extLst>
            <a:ext uri="{FF2B5EF4-FFF2-40B4-BE49-F238E27FC236}">
              <a16:creationId xmlns:a16="http://schemas.microsoft.com/office/drawing/2014/main" xmlns="" id="{8F69A765-4957-4788-84B8-B3617CB88704}"/>
            </a:ext>
          </a:extLst>
        </xdr:cNvPr>
        <xdr:cNvSpPr/>
      </xdr:nvSpPr>
      <xdr:spPr>
        <a:xfrm>
          <a:off x="9344025" y="2152650"/>
          <a:ext cx="1295400" cy="409575"/>
        </a:xfrm>
        <a:prstGeom prst="roundRect">
          <a:avLst/>
        </a:prstGeom>
        <a:solidFill>
          <a:schemeClr val="accent3">
            <a:lumMod val="75000"/>
          </a:schemeClr>
        </a:solidFill>
        <a:ln>
          <a:noFill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id-ID" sz="1100"/>
            <a:t>TABEL PENDUDUK</a:t>
          </a:r>
        </a:p>
      </xdr:txBody>
    </xdr:sp>
    <xdr:clientData/>
  </xdr:twoCellAnchor>
  <xdr:twoCellAnchor>
    <xdr:from>
      <xdr:col>16</xdr:col>
      <xdr:colOff>352426</xdr:colOff>
      <xdr:row>4</xdr:row>
      <xdr:rowOff>85725</xdr:rowOff>
    </xdr:from>
    <xdr:to>
      <xdr:col>19</xdr:col>
      <xdr:colOff>19048</xdr:colOff>
      <xdr:row>6</xdr:row>
      <xdr:rowOff>104775</xdr:rowOff>
    </xdr:to>
    <xdr:sp macro="" textlink="MENINGGAL!$I$2">
      <xdr:nvSpPr>
        <xdr:cNvPr id="63" name="Rectangle 62">
          <a:extLst>
            <a:ext uri="{FF2B5EF4-FFF2-40B4-BE49-F238E27FC236}">
              <a16:creationId xmlns:a16="http://schemas.microsoft.com/office/drawing/2014/main" xmlns="" id="{4E0B61FF-9E3E-4AF7-A13A-5CC76C5FB917}"/>
            </a:ext>
          </a:extLst>
        </xdr:cNvPr>
        <xdr:cNvSpPr/>
      </xdr:nvSpPr>
      <xdr:spPr>
        <a:xfrm>
          <a:off x="11172826" y="923925"/>
          <a:ext cx="1495422" cy="43815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fld id="{57FA4C31-A378-48C0-9949-CBF5445BB1AF}" type="TxLink">
            <a:rPr lang="en-US" sz="1800" b="1" i="0" u="none" strike="noStrike">
              <a:solidFill>
                <a:schemeClr val="accent4">
                  <a:lumMod val="20000"/>
                  <a:lumOff val="80000"/>
                </a:schemeClr>
              </a:solidFill>
              <a:latin typeface="Roboto Condensed"/>
              <a:ea typeface="Roboto Condensed"/>
              <a:cs typeface="+mn-cs"/>
            </a:rPr>
            <a:pPr marL="0" indent="0" algn="ctr"/>
            <a:t>0 Jiwa</a:t>
          </a:fld>
          <a:endParaRPr lang="en-US" sz="8800" b="1" i="0" u="none" strike="noStrike">
            <a:solidFill>
              <a:schemeClr val="accent4">
                <a:lumMod val="20000"/>
                <a:lumOff val="80000"/>
              </a:schemeClr>
            </a:solidFill>
            <a:latin typeface="Roboto Condensed"/>
            <a:ea typeface="Roboto Condensed"/>
            <a:cs typeface="+mn-cs"/>
          </a:endParaRPr>
        </a:p>
      </xdr:txBody>
    </xdr:sp>
    <xdr:clientData/>
  </xdr:twoCellAnchor>
  <xdr:twoCellAnchor>
    <xdr:from>
      <xdr:col>19</xdr:col>
      <xdr:colOff>276226</xdr:colOff>
      <xdr:row>4</xdr:row>
      <xdr:rowOff>76200</xdr:rowOff>
    </xdr:from>
    <xdr:to>
      <xdr:col>21</xdr:col>
      <xdr:colOff>552448</xdr:colOff>
      <xdr:row>6</xdr:row>
      <xdr:rowOff>95250</xdr:rowOff>
    </xdr:to>
    <xdr:sp macro="" textlink="PINDAH!$H$2">
      <xdr:nvSpPr>
        <xdr:cNvPr id="67" name="Rectangle 66">
          <a:extLst>
            <a:ext uri="{FF2B5EF4-FFF2-40B4-BE49-F238E27FC236}">
              <a16:creationId xmlns:a16="http://schemas.microsoft.com/office/drawing/2014/main" xmlns="" id="{950156CF-8552-4E50-B7AC-A3AD818F063B}"/>
            </a:ext>
          </a:extLst>
        </xdr:cNvPr>
        <xdr:cNvSpPr/>
      </xdr:nvSpPr>
      <xdr:spPr>
        <a:xfrm>
          <a:off x="12925426" y="914400"/>
          <a:ext cx="1495422" cy="43815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fld id="{B5A3F391-E686-48E5-A869-325E6A7C0394}" type="TxLink">
            <a:rPr lang="en-US" sz="1800" b="1" i="0" u="none" strike="noStrike">
              <a:solidFill>
                <a:schemeClr val="accent4">
                  <a:lumMod val="20000"/>
                  <a:lumOff val="80000"/>
                </a:schemeClr>
              </a:solidFill>
              <a:latin typeface="Roboto Condensed"/>
              <a:ea typeface="Roboto Condensed"/>
              <a:cs typeface="+mn-cs"/>
            </a:rPr>
            <a:pPr marL="0" indent="0" algn="ctr"/>
            <a:t>0 Jiwa</a:t>
          </a:fld>
          <a:endParaRPr lang="en-US" sz="1800" b="1" i="0" u="none" strike="noStrike">
            <a:solidFill>
              <a:schemeClr val="accent4">
                <a:lumMod val="20000"/>
                <a:lumOff val="80000"/>
              </a:schemeClr>
            </a:solidFill>
            <a:latin typeface="Roboto Condensed"/>
            <a:ea typeface="Roboto Condensed"/>
            <a:cs typeface="+mn-cs"/>
          </a:endParaRPr>
        </a:p>
      </xdr:txBody>
    </xdr:sp>
    <xdr:clientData/>
  </xdr:twoCellAnchor>
  <xdr:twoCellAnchor>
    <xdr:from>
      <xdr:col>2</xdr:col>
      <xdr:colOff>152400</xdr:colOff>
      <xdr:row>3</xdr:row>
      <xdr:rowOff>180975</xdr:rowOff>
    </xdr:from>
    <xdr:to>
      <xdr:col>3</xdr:col>
      <xdr:colOff>371474</xdr:colOff>
      <xdr:row>5</xdr:row>
      <xdr:rowOff>200025</xdr:rowOff>
    </xdr:to>
    <xdr:sp macro="" textlink="">
      <xdr:nvSpPr>
        <xdr:cNvPr id="59" name="Rectangle 58">
          <a:extLst>
            <a:ext uri="{FF2B5EF4-FFF2-40B4-BE49-F238E27FC236}">
              <a16:creationId xmlns:a16="http://schemas.microsoft.com/office/drawing/2014/main" xmlns="" id="{5E7756F6-BA45-4775-9D95-88BE46E91308}"/>
            </a:ext>
          </a:extLst>
        </xdr:cNvPr>
        <xdr:cNvSpPr/>
      </xdr:nvSpPr>
      <xdr:spPr>
        <a:xfrm>
          <a:off x="2438400" y="809625"/>
          <a:ext cx="828674" cy="43815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endParaRPr lang="en-US" sz="1100" b="1" i="0" u="none" strike="noStrike">
            <a:solidFill>
              <a:schemeClr val="accent4">
                <a:lumMod val="20000"/>
                <a:lumOff val="80000"/>
              </a:schemeClr>
            </a:solidFill>
            <a:latin typeface="Roboto Condensed"/>
            <a:ea typeface="Roboto Condensed"/>
            <a:cs typeface="+mn-cs"/>
          </a:endParaRPr>
        </a:p>
      </xdr:txBody>
    </xdr:sp>
    <xdr:clientData/>
  </xdr:twoCellAnchor>
  <xdr:twoCellAnchor>
    <xdr:from>
      <xdr:col>2</xdr:col>
      <xdr:colOff>200025</xdr:colOff>
      <xdr:row>3</xdr:row>
      <xdr:rowOff>180975</xdr:rowOff>
    </xdr:from>
    <xdr:to>
      <xdr:col>3</xdr:col>
      <xdr:colOff>371475</xdr:colOff>
      <xdr:row>5</xdr:row>
      <xdr:rowOff>200025</xdr:rowOff>
    </xdr:to>
    <xdr:sp macro="" textlink="">
      <xdr:nvSpPr>
        <xdr:cNvPr id="9" name="Rectangle 8">
          <a:extLst>
            <a:ext uri="{FF2B5EF4-FFF2-40B4-BE49-F238E27FC236}">
              <a16:creationId xmlns:a16="http://schemas.microsoft.com/office/drawing/2014/main" xmlns="" id="{5EB5C2DC-F3DC-4843-8547-BFB3023E96C1}"/>
            </a:ext>
          </a:extLst>
        </xdr:cNvPr>
        <xdr:cNvSpPr/>
      </xdr:nvSpPr>
      <xdr:spPr>
        <a:xfrm>
          <a:off x="2486025" y="809625"/>
          <a:ext cx="781050" cy="43815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4</xdr:col>
      <xdr:colOff>419100</xdr:colOff>
      <xdr:row>3</xdr:row>
      <xdr:rowOff>200025</xdr:rowOff>
    </xdr:from>
    <xdr:to>
      <xdr:col>5</xdr:col>
      <xdr:colOff>447674</xdr:colOff>
      <xdr:row>6</xdr:row>
      <xdr:rowOff>9525</xdr:rowOff>
    </xdr:to>
    <xdr:sp macro="" textlink="">
      <xdr:nvSpPr>
        <xdr:cNvPr id="76" name="Rectangle 75">
          <a:extLst>
            <a:ext uri="{FF2B5EF4-FFF2-40B4-BE49-F238E27FC236}">
              <a16:creationId xmlns:a16="http://schemas.microsoft.com/office/drawing/2014/main" xmlns="" id="{F07C00B2-28A8-49A3-8B79-6E84120BE4C6}"/>
            </a:ext>
          </a:extLst>
        </xdr:cNvPr>
        <xdr:cNvSpPr/>
      </xdr:nvSpPr>
      <xdr:spPr>
        <a:xfrm>
          <a:off x="3924300" y="828675"/>
          <a:ext cx="638174" cy="43815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endParaRPr lang="en-US" sz="1100" b="1" i="0" u="none" strike="noStrike">
            <a:solidFill>
              <a:schemeClr val="accent4">
                <a:lumMod val="20000"/>
                <a:lumOff val="80000"/>
              </a:schemeClr>
            </a:solidFill>
            <a:latin typeface="Roboto Condensed"/>
            <a:ea typeface="Roboto Condensed"/>
            <a:cs typeface="+mn-cs"/>
          </a:endParaRPr>
        </a:p>
      </xdr:txBody>
    </xdr:sp>
    <xdr:clientData/>
  </xdr:twoCellAnchor>
  <xdr:twoCellAnchor>
    <xdr:from>
      <xdr:col>11</xdr:col>
      <xdr:colOff>240506</xdr:colOff>
      <xdr:row>3</xdr:row>
      <xdr:rowOff>141684</xdr:rowOff>
    </xdr:from>
    <xdr:to>
      <xdr:col>15</xdr:col>
      <xdr:colOff>535781</xdr:colOff>
      <xdr:row>7</xdr:row>
      <xdr:rowOff>7558</xdr:rowOff>
    </xdr:to>
    <xdr:sp macro="" textlink="REKAPITULASI!$B$14">
      <xdr:nvSpPr>
        <xdr:cNvPr id="81" name="Rectangle 80">
          <a:extLst>
            <a:ext uri="{FF2B5EF4-FFF2-40B4-BE49-F238E27FC236}">
              <a16:creationId xmlns:a16="http://schemas.microsoft.com/office/drawing/2014/main" xmlns="" id="{BF8A03EC-0099-463F-8A25-C04F2E662622}"/>
            </a:ext>
          </a:extLst>
        </xdr:cNvPr>
        <xdr:cNvSpPr/>
      </xdr:nvSpPr>
      <xdr:spPr>
        <a:xfrm>
          <a:off x="7991475" y="713184"/>
          <a:ext cx="2724150" cy="627874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fld id="{A9870616-6E31-4AB5-A721-18DCDB6C0D35}" type="TxLink">
            <a:rPr lang="en-US" sz="2400" b="1" i="0" u="none" strike="noStrike">
              <a:solidFill>
                <a:schemeClr val="bg1"/>
              </a:solidFill>
              <a:latin typeface="Roboto Condensed"/>
              <a:ea typeface="Roboto Condensed"/>
              <a:cs typeface="+mn-cs"/>
            </a:rPr>
            <a:t>1 Keluarga</a:t>
          </a:fld>
          <a:endParaRPr lang="en-US" sz="8800" b="1" i="0" u="none" strike="noStrike">
            <a:solidFill>
              <a:schemeClr val="bg1"/>
            </a:solidFill>
            <a:latin typeface="Roboto Condensed"/>
            <a:ea typeface="Roboto Condensed"/>
            <a:cs typeface="+mn-cs"/>
          </a:endParaRPr>
        </a:p>
      </xdr:txBody>
    </xdr:sp>
    <xdr:clientData/>
  </xdr:twoCellAnchor>
  <xdr:twoCellAnchor>
    <xdr:from>
      <xdr:col>15</xdr:col>
      <xdr:colOff>361950</xdr:colOff>
      <xdr:row>14</xdr:row>
      <xdr:rowOff>30957</xdr:rowOff>
    </xdr:from>
    <xdr:to>
      <xdr:col>23</xdr:col>
      <xdr:colOff>76200</xdr:colOff>
      <xdr:row>28</xdr:row>
      <xdr:rowOff>107157</xdr:rowOff>
    </xdr:to>
    <xdr:graphicFrame macro="">
      <xdr:nvGraphicFramePr>
        <xdr:cNvPr id="82" name="Chart 8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5"/>
        </a:graphicData>
      </a:graphic>
    </xdr:graphicFrame>
    <xdr:clientData/>
  </xdr:twoCellAnchor>
  <xdr:twoCellAnchor>
    <xdr:from>
      <xdr:col>2</xdr:col>
      <xdr:colOff>469107</xdr:colOff>
      <xdr:row>13</xdr:row>
      <xdr:rowOff>47625</xdr:rowOff>
    </xdr:from>
    <xdr:to>
      <xdr:col>15</xdr:col>
      <xdr:colOff>142875</xdr:colOff>
      <xdr:row>29</xdr:row>
      <xdr:rowOff>119062</xdr:rowOff>
    </xdr:to>
    <xdr:graphicFrame macro="">
      <xdr:nvGraphicFramePr>
        <xdr:cNvPr id="83" name="Chart 8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6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19050</xdr:colOff>
      <xdr:row>0</xdr:row>
      <xdr:rowOff>104775</xdr:rowOff>
    </xdr:from>
    <xdr:ext cx="2001766" cy="430567"/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xmlns="" id="{CF0CB9A7-B0B2-44BA-9925-E35044BD77D5}"/>
            </a:ext>
          </a:extLst>
        </xdr:cNvPr>
        <xdr:cNvSpPr txBox="1"/>
      </xdr:nvSpPr>
      <xdr:spPr>
        <a:xfrm>
          <a:off x="19050" y="104775"/>
          <a:ext cx="2001766" cy="43056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2000" b="1">
              <a:solidFill>
                <a:schemeClr val="accent6">
                  <a:lumMod val="50000"/>
                </a:schemeClr>
              </a:solidFill>
            </a:rPr>
            <a:t>DATA</a:t>
          </a:r>
          <a:r>
            <a:rPr lang="en-US" sz="2000" b="1" baseline="0">
              <a:solidFill>
                <a:schemeClr val="accent6">
                  <a:lumMod val="50000"/>
                </a:schemeClr>
              </a:solidFill>
            </a:rPr>
            <a:t> PENDUDUK</a:t>
          </a:r>
          <a:endParaRPr lang="en-US" sz="2000" b="1">
            <a:solidFill>
              <a:schemeClr val="accent6">
                <a:lumMod val="50000"/>
              </a:schemeClr>
            </a:solidFill>
          </a:endParaRPr>
        </a:p>
      </xdr:txBody>
    </xdr:sp>
    <xdr:clientData/>
  </xdr:oneCellAnchor>
</xdr:wsDr>
</file>

<file path=xl/drawings/drawing3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0</xdr:colOff>
      <xdr:row>0</xdr:row>
      <xdr:rowOff>114300</xdr:rowOff>
    </xdr:from>
    <xdr:ext cx="3248710" cy="430567"/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xmlns="" id="{F90FD297-92E4-4A58-8AEE-36DE9302F45A}"/>
            </a:ext>
          </a:extLst>
        </xdr:cNvPr>
        <xdr:cNvSpPr txBox="1"/>
      </xdr:nvSpPr>
      <xdr:spPr>
        <a:xfrm>
          <a:off x="0" y="114300"/>
          <a:ext cx="3248710" cy="43056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2000" b="1">
              <a:solidFill>
                <a:schemeClr val="accent6">
                  <a:lumMod val="50000"/>
                </a:schemeClr>
              </a:solidFill>
            </a:rPr>
            <a:t>DATA</a:t>
          </a:r>
          <a:r>
            <a:rPr lang="en-US" sz="2000" b="1" baseline="0">
              <a:solidFill>
                <a:schemeClr val="accent6">
                  <a:lumMod val="50000"/>
                </a:schemeClr>
              </a:solidFill>
            </a:rPr>
            <a:t> PENDUDUK MENINGGAL</a:t>
          </a:r>
          <a:endParaRPr lang="en-US" sz="2000" b="1">
            <a:solidFill>
              <a:schemeClr val="accent6">
                <a:lumMod val="50000"/>
              </a:schemeClr>
            </a:solidFill>
          </a:endParaRPr>
        </a:p>
      </xdr:txBody>
    </xdr:sp>
    <xdr:clientData/>
  </xdr:oneCellAnchor>
</xdr:wsDr>
</file>

<file path=xl/drawings/drawing4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0</xdr:colOff>
      <xdr:row>0</xdr:row>
      <xdr:rowOff>114300</xdr:rowOff>
    </xdr:from>
    <xdr:ext cx="2810706" cy="430567"/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xmlns="" id="{A1973752-F1C4-41E6-8700-AB6471238172}"/>
            </a:ext>
          </a:extLst>
        </xdr:cNvPr>
        <xdr:cNvSpPr txBox="1"/>
      </xdr:nvSpPr>
      <xdr:spPr>
        <a:xfrm>
          <a:off x="0" y="114300"/>
          <a:ext cx="2810706" cy="43056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2000" b="1">
              <a:solidFill>
                <a:schemeClr val="accent6">
                  <a:lumMod val="50000"/>
                </a:schemeClr>
              </a:solidFill>
            </a:rPr>
            <a:t>DATA</a:t>
          </a:r>
          <a:r>
            <a:rPr lang="en-US" sz="2000" b="1" baseline="0">
              <a:solidFill>
                <a:schemeClr val="accent6">
                  <a:lumMod val="50000"/>
                </a:schemeClr>
              </a:solidFill>
            </a:rPr>
            <a:t> PENDUDUK </a:t>
          </a:r>
          <a:r>
            <a:rPr lang="id-ID" sz="2000" b="1" baseline="0">
              <a:solidFill>
                <a:schemeClr val="accent6">
                  <a:lumMod val="50000"/>
                </a:schemeClr>
              </a:solidFill>
            </a:rPr>
            <a:t>PINDAH</a:t>
          </a:r>
          <a:endParaRPr lang="en-US" sz="2000" b="1">
            <a:solidFill>
              <a:schemeClr val="accent6">
                <a:lumMod val="50000"/>
              </a:schemeClr>
            </a:solidFill>
          </a:endParaRPr>
        </a:p>
      </xdr:txBody>
    </xdr:sp>
    <xdr:clientData/>
  </xdr:oneCellAnchor>
</xdr:wsDr>
</file>

<file path=xl/drawings/drawing5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38100</xdr:colOff>
      <xdr:row>0</xdr:row>
      <xdr:rowOff>95250</xdr:rowOff>
    </xdr:from>
    <xdr:ext cx="4643451" cy="430567"/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xmlns="" id="{7D9DB531-6555-4F3B-AB06-70629DC75EA4}"/>
            </a:ext>
          </a:extLst>
        </xdr:cNvPr>
        <xdr:cNvSpPr txBox="1"/>
      </xdr:nvSpPr>
      <xdr:spPr>
        <a:xfrm>
          <a:off x="38100" y="95250"/>
          <a:ext cx="4643451" cy="43056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2000" b="1">
              <a:solidFill>
                <a:schemeClr val="accent6">
                  <a:lumMod val="50000"/>
                </a:schemeClr>
              </a:solidFill>
            </a:rPr>
            <a:t>DATA</a:t>
          </a:r>
          <a:r>
            <a:rPr lang="en-US" sz="2000" b="1" baseline="0">
              <a:solidFill>
                <a:schemeClr val="accent6">
                  <a:lumMod val="50000"/>
                </a:schemeClr>
              </a:solidFill>
            </a:rPr>
            <a:t> USIA PENDUDUK DAN KATEGORI USIA</a:t>
          </a:r>
          <a:endParaRPr lang="en-US" sz="2000" b="1">
            <a:solidFill>
              <a:schemeClr val="accent6">
                <a:lumMod val="50000"/>
              </a:schemeClr>
            </a:solidFill>
          </a:endParaRPr>
        </a:p>
      </xdr:txBody>
    </xdr:sp>
    <xdr:clientData/>
  </xdr:one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66675</xdr:colOff>
      <xdr:row>0</xdr:row>
      <xdr:rowOff>38100</xdr:rowOff>
    </xdr:from>
    <xdr:to>
      <xdr:col>0</xdr:col>
      <xdr:colOff>733425</xdr:colOff>
      <xdr:row>3</xdr:row>
      <xdr:rowOff>76200</xdr:rowOff>
    </xdr:to>
    <xdr:pic>
      <xdr:nvPicPr>
        <xdr:cNvPr id="3" name="Graphic 2" descr="Pie chart">
          <a:extLst>
            <a:ext uri="{FF2B5EF4-FFF2-40B4-BE49-F238E27FC236}">
              <a16:creationId xmlns:a16="http://schemas.microsoft.com/office/drawing/2014/main" xmlns="" id="{E82F0B39-430B-4CD0-A30C-EA390F3017A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xmlns="" r:embed="rId2"/>
            </a:ext>
          </a:extLst>
        </a:blip>
        <a:stretch>
          <a:fillRect/>
        </a:stretch>
      </xdr:blipFill>
      <xdr:spPr>
        <a:xfrm>
          <a:off x="66675" y="38100"/>
          <a:ext cx="666750" cy="666750"/>
        </a:xfrm>
        <a:prstGeom prst="rect">
          <a:avLst/>
        </a:prstGeom>
      </xdr:spPr>
    </xdr:pic>
    <xdr:clientData/>
  </xdr:twoCellAnchor>
  <xdr:oneCellAnchor>
    <xdr:from>
      <xdr:col>0</xdr:col>
      <xdr:colOff>781050</xdr:colOff>
      <xdr:row>0</xdr:row>
      <xdr:rowOff>180975</xdr:rowOff>
    </xdr:from>
    <xdr:ext cx="3509550" cy="430567"/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xmlns="" id="{C92C8AB2-A0D0-4DAF-B3AB-0C45FF07072D}"/>
            </a:ext>
          </a:extLst>
        </xdr:cNvPr>
        <xdr:cNvSpPr txBox="1"/>
      </xdr:nvSpPr>
      <xdr:spPr>
        <a:xfrm>
          <a:off x="781050" y="180975"/>
          <a:ext cx="3509550" cy="43056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2000" b="1">
              <a:solidFill>
                <a:schemeClr val="accent6">
                  <a:lumMod val="50000"/>
                </a:schemeClr>
              </a:solidFill>
            </a:rPr>
            <a:t>DATA</a:t>
          </a:r>
          <a:r>
            <a:rPr lang="en-US" sz="2000" b="1" baseline="0">
              <a:solidFill>
                <a:schemeClr val="accent6">
                  <a:lumMod val="50000"/>
                </a:schemeClr>
              </a:solidFill>
            </a:rPr>
            <a:t> REKAPITULASI PENDUDUK</a:t>
          </a:r>
          <a:endParaRPr lang="en-US" sz="2000" b="1">
            <a:solidFill>
              <a:schemeClr val="accent6">
                <a:lumMod val="50000"/>
              </a:schemeClr>
            </a:solidFill>
          </a:endParaRPr>
        </a:p>
      </xdr:txBody>
    </xdr:sp>
    <xdr:clientData/>
  </xdr:oneCellAnchor>
</xdr:wsDr>
</file>

<file path=xl/theme/theme1.xml><?xml version="1.0" encoding="utf-8"?>
<a:theme xmlns:a="http://schemas.openxmlformats.org/drawingml/2006/main" name="Office Theme">
  <a:themeElements>
    <a:clrScheme name="Violet II">
      <a:dk1>
        <a:sysClr val="windowText" lastClr="000000"/>
      </a:dk1>
      <a:lt1>
        <a:sysClr val="window" lastClr="FFFFFF"/>
      </a:lt1>
      <a:dk2>
        <a:srgbClr val="632E62"/>
      </a:dk2>
      <a:lt2>
        <a:srgbClr val="EAE5EB"/>
      </a:lt2>
      <a:accent1>
        <a:srgbClr val="92278F"/>
      </a:accent1>
      <a:accent2>
        <a:srgbClr val="9B57D3"/>
      </a:accent2>
      <a:accent3>
        <a:srgbClr val="755DD9"/>
      </a:accent3>
      <a:accent4>
        <a:srgbClr val="665EB8"/>
      </a:accent4>
      <a:accent5>
        <a:srgbClr val="45A5ED"/>
      </a:accent5>
      <a:accent6>
        <a:srgbClr val="5982DB"/>
      </a:accent6>
      <a:hlink>
        <a:srgbClr val="0066FF"/>
      </a:hlink>
      <a:folHlink>
        <a:srgbClr val="666699"/>
      </a:folHlink>
    </a:clrScheme>
    <a:fontScheme name="Custom 2">
      <a:majorFont>
        <a:latin typeface="Roboto Condensed"/>
        <a:ea typeface=""/>
        <a:cs typeface=""/>
      </a:majorFont>
      <a:minorFont>
        <a:latin typeface="Roboto Condensed"/>
        <a:ea typeface=""/>
        <a:cs typeface="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xmlns="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6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"/>
  <sheetViews>
    <sheetView showGridLines="0" tabSelected="1" zoomScale="80" zoomScaleNormal="80" workbookViewId="0">
      <selection activeCell="X7" sqref="X7"/>
    </sheetView>
  </sheetViews>
  <sheetFormatPr defaultRowHeight="15" x14ac:dyDescent="0.25"/>
  <cols>
    <col min="1" max="1" width="30.5703125" style="2" customWidth="1"/>
    <col min="2" max="2" width="3.7109375" customWidth="1"/>
  </cols>
  <sheetData/>
  <pageMargins left="0.7" right="0.7" top="0.75" bottom="0.75" header="0.3" footer="0.3"/>
  <pageSetup paperSize="9" orientation="portrait" horizontalDpi="4294967293" verticalDpi="0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4:K198"/>
  <sheetViews>
    <sheetView showGridLines="0" workbookViewId="0">
      <selection activeCell="B16" sqref="B16"/>
    </sheetView>
  </sheetViews>
  <sheetFormatPr defaultRowHeight="15" x14ac:dyDescent="0.25"/>
  <cols>
    <col min="1" max="1" width="5.28515625" style="5" customWidth="1"/>
    <col min="2" max="2" width="31.28515625" bestFit="1" customWidth="1"/>
    <col min="3" max="3" width="18.42578125" style="1" customWidth="1"/>
    <col min="4" max="4" width="19" style="1" customWidth="1"/>
    <col min="5" max="5" width="14.85546875" customWidth="1"/>
    <col min="6" max="6" width="17.7109375" customWidth="1"/>
    <col min="7" max="7" width="13" style="5" customWidth="1"/>
    <col min="8" max="8" width="16.28515625" style="10" customWidth="1"/>
    <col min="9" max="10" width="24.140625" customWidth="1"/>
    <col min="11" max="11" width="26.85546875" style="1" bestFit="1" customWidth="1"/>
  </cols>
  <sheetData>
    <row r="4" spans="1:11" ht="15.75" thickBot="1" x14ac:dyDescent="0.3">
      <c r="A4" s="6" t="s">
        <v>0</v>
      </c>
      <c r="B4" s="7" t="s">
        <v>7</v>
      </c>
      <c r="C4" s="8" t="s">
        <v>5</v>
      </c>
      <c r="D4" s="8" t="s">
        <v>6</v>
      </c>
      <c r="E4" s="7" t="s">
        <v>1</v>
      </c>
      <c r="F4" s="7" t="s">
        <v>2</v>
      </c>
      <c r="G4" s="26" t="s">
        <v>8</v>
      </c>
      <c r="H4" s="12" t="s">
        <v>3</v>
      </c>
      <c r="I4" s="7" t="s">
        <v>4</v>
      </c>
      <c r="J4" s="7" t="s">
        <v>12</v>
      </c>
      <c r="K4" s="8" t="s">
        <v>9</v>
      </c>
    </row>
    <row r="5" spans="1:11" x14ac:dyDescent="0.25">
      <c r="A5" s="5">
        <f>IF(B5="","",1)</f>
        <v>1</v>
      </c>
      <c r="B5" s="3" t="s">
        <v>18</v>
      </c>
      <c r="C5" s="4" t="s">
        <v>25</v>
      </c>
      <c r="D5" s="4" t="s">
        <v>19</v>
      </c>
      <c r="E5" s="3" t="s">
        <v>20</v>
      </c>
      <c r="F5" s="3" t="s">
        <v>21</v>
      </c>
      <c r="G5" s="27">
        <v>2343</v>
      </c>
      <c r="H5" s="28">
        <v>36193</v>
      </c>
      <c r="I5" s="3" t="s">
        <v>22</v>
      </c>
      <c r="J5" s="3" t="s">
        <v>23</v>
      </c>
      <c r="K5" s="4" t="s">
        <v>24</v>
      </c>
    </row>
    <row r="6" spans="1:11" x14ac:dyDescent="0.25">
      <c r="A6" s="5">
        <f t="shared" ref="A6:A37" si="0">IF(B6="","",A5+1)</f>
        <v>2</v>
      </c>
      <c r="B6" s="3" t="s">
        <v>26</v>
      </c>
      <c r="C6" s="4" t="s">
        <v>27</v>
      </c>
      <c r="D6" s="4" t="s">
        <v>28</v>
      </c>
      <c r="E6" s="3" t="s">
        <v>20</v>
      </c>
      <c r="F6" s="3" t="s">
        <v>21</v>
      </c>
      <c r="G6" s="27" t="s">
        <v>29</v>
      </c>
      <c r="H6" s="28">
        <v>36193</v>
      </c>
      <c r="I6" s="3" t="s">
        <v>30</v>
      </c>
      <c r="J6" s="3" t="s">
        <v>31</v>
      </c>
      <c r="K6" s="4" t="s">
        <v>32</v>
      </c>
    </row>
    <row r="7" spans="1:11" x14ac:dyDescent="0.25">
      <c r="A7" s="5">
        <f t="shared" si="0"/>
        <v>3</v>
      </c>
      <c r="B7" s="3" t="s">
        <v>53</v>
      </c>
      <c r="C7" s="4" t="s">
        <v>54</v>
      </c>
      <c r="D7" s="4" t="s">
        <v>55</v>
      </c>
      <c r="E7" s="3" t="s">
        <v>36</v>
      </c>
      <c r="F7" s="3" t="s">
        <v>21</v>
      </c>
      <c r="G7" s="27" t="s">
        <v>56</v>
      </c>
      <c r="H7" s="28">
        <v>36193</v>
      </c>
      <c r="I7" s="3" t="s">
        <v>30</v>
      </c>
      <c r="J7" s="3" t="s">
        <v>57</v>
      </c>
      <c r="K7" s="4" t="s">
        <v>58</v>
      </c>
    </row>
    <row r="8" spans="1:11" x14ac:dyDescent="0.25">
      <c r="A8" s="5" t="str">
        <f t="shared" si="0"/>
        <v/>
      </c>
      <c r="B8" s="3"/>
      <c r="C8" s="4"/>
      <c r="D8" s="4"/>
      <c r="E8" s="3"/>
      <c r="F8" s="3"/>
      <c r="G8" s="27"/>
      <c r="H8" s="28"/>
      <c r="I8" s="3"/>
      <c r="J8" s="3"/>
      <c r="K8" s="4"/>
    </row>
    <row r="9" spans="1:11" x14ac:dyDescent="0.25">
      <c r="A9" s="5" t="str">
        <f t="shared" si="0"/>
        <v/>
      </c>
      <c r="B9" s="3"/>
      <c r="C9" s="4"/>
      <c r="D9" s="4"/>
      <c r="E9" s="3"/>
      <c r="F9" s="3"/>
      <c r="G9" s="27"/>
      <c r="H9" s="28"/>
      <c r="I9" s="3"/>
      <c r="J9" s="3"/>
      <c r="K9" s="4"/>
    </row>
    <row r="10" spans="1:11" x14ac:dyDescent="0.25">
      <c r="A10" s="5" t="str">
        <f t="shared" si="0"/>
        <v/>
      </c>
      <c r="B10" s="3"/>
      <c r="C10" s="4"/>
      <c r="D10" s="4"/>
      <c r="E10" s="3"/>
      <c r="F10" s="3"/>
      <c r="G10" s="27"/>
      <c r="H10" s="28"/>
      <c r="I10" s="3"/>
      <c r="J10" s="3"/>
      <c r="K10" s="4"/>
    </row>
    <row r="11" spans="1:11" x14ac:dyDescent="0.25">
      <c r="A11" s="5" t="str">
        <f t="shared" si="0"/>
        <v/>
      </c>
      <c r="B11" s="3"/>
      <c r="C11" s="4"/>
      <c r="D11" s="4"/>
      <c r="E11" s="3"/>
      <c r="F11" s="3"/>
      <c r="G11" s="27"/>
      <c r="H11" s="28"/>
      <c r="I11" s="3"/>
      <c r="J11" s="3"/>
      <c r="K11" s="4"/>
    </row>
    <row r="12" spans="1:11" x14ac:dyDescent="0.25">
      <c r="A12" s="5" t="str">
        <f t="shared" si="0"/>
        <v/>
      </c>
      <c r="B12" s="3"/>
      <c r="C12" s="4"/>
      <c r="D12" s="4"/>
      <c r="E12" s="3"/>
      <c r="F12" s="3"/>
      <c r="G12" s="27"/>
      <c r="H12" s="28"/>
      <c r="I12" s="3"/>
      <c r="J12" s="3"/>
      <c r="K12" s="4"/>
    </row>
    <row r="13" spans="1:11" x14ac:dyDescent="0.25">
      <c r="A13" s="5" t="str">
        <f t="shared" si="0"/>
        <v/>
      </c>
      <c r="B13" s="3"/>
      <c r="C13" s="4"/>
      <c r="D13" s="4"/>
      <c r="E13" s="3"/>
      <c r="F13" s="3"/>
      <c r="G13" s="27"/>
      <c r="H13" s="28"/>
      <c r="I13" s="3"/>
      <c r="J13" s="3"/>
      <c r="K13" s="4"/>
    </row>
    <row r="14" spans="1:11" x14ac:dyDescent="0.25">
      <c r="A14" s="5" t="str">
        <f t="shared" si="0"/>
        <v/>
      </c>
      <c r="B14" s="3"/>
      <c r="C14" s="4"/>
      <c r="D14" s="4"/>
      <c r="E14" s="3"/>
      <c r="F14" s="3"/>
      <c r="G14" s="27"/>
      <c r="H14" s="28"/>
      <c r="I14" s="3"/>
      <c r="J14" s="3"/>
      <c r="K14" s="4"/>
    </row>
    <row r="15" spans="1:11" x14ac:dyDescent="0.25">
      <c r="A15" s="5" t="str">
        <f t="shared" si="0"/>
        <v/>
      </c>
      <c r="B15" s="3"/>
      <c r="C15" s="4"/>
      <c r="D15" s="4"/>
      <c r="E15" s="3"/>
      <c r="F15" s="3"/>
      <c r="G15" s="27"/>
      <c r="H15" s="28"/>
      <c r="I15" s="3"/>
      <c r="J15" s="3"/>
      <c r="K15" s="4"/>
    </row>
    <row r="16" spans="1:11" x14ac:dyDescent="0.25">
      <c r="A16" s="5" t="str">
        <f t="shared" si="0"/>
        <v/>
      </c>
      <c r="B16" s="3"/>
      <c r="C16" s="4"/>
      <c r="D16" s="4"/>
      <c r="E16" s="3"/>
      <c r="F16" s="3"/>
      <c r="G16" s="27"/>
      <c r="H16" s="28"/>
      <c r="I16" s="3"/>
      <c r="J16" s="3"/>
      <c r="K16" s="4"/>
    </row>
    <row r="17" spans="1:11" x14ac:dyDescent="0.25">
      <c r="A17" s="5" t="str">
        <f t="shared" si="0"/>
        <v/>
      </c>
      <c r="B17" s="3"/>
      <c r="C17" s="4"/>
      <c r="D17" s="4"/>
      <c r="E17" s="3"/>
      <c r="F17" s="3"/>
      <c r="G17" s="27"/>
      <c r="H17" s="28"/>
      <c r="I17" s="3"/>
      <c r="J17" s="3"/>
      <c r="K17" s="4"/>
    </row>
    <row r="18" spans="1:11" x14ac:dyDescent="0.25">
      <c r="A18" s="5" t="str">
        <f t="shared" si="0"/>
        <v/>
      </c>
      <c r="B18" s="3"/>
      <c r="C18" s="4"/>
      <c r="D18" s="4"/>
      <c r="E18" s="3"/>
      <c r="F18" s="3"/>
      <c r="G18" s="27"/>
      <c r="H18" s="28"/>
      <c r="I18" s="3"/>
      <c r="J18" s="3"/>
      <c r="K18" s="4"/>
    </row>
    <row r="19" spans="1:11" x14ac:dyDescent="0.25">
      <c r="A19" s="5" t="str">
        <f t="shared" si="0"/>
        <v/>
      </c>
      <c r="B19" s="3"/>
      <c r="C19" s="4"/>
      <c r="D19" s="4"/>
      <c r="E19" s="3"/>
      <c r="F19" s="3"/>
      <c r="G19" s="27"/>
      <c r="H19" s="28"/>
      <c r="I19" s="3"/>
      <c r="J19" s="3"/>
      <c r="K19" s="4"/>
    </row>
    <row r="20" spans="1:11" x14ac:dyDescent="0.25">
      <c r="A20" s="5" t="str">
        <f t="shared" si="0"/>
        <v/>
      </c>
      <c r="B20" s="3"/>
      <c r="C20" s="4"/>
      <c r="D20" s="4"/>
      <c r="E20" s="3"/>
      <c r="F20" s="3"/>
      <c r="G20" s="27"/>
      <c r="H20" s="28"/>
      <c r="I20" s="3"/>
      <c r="J20" s="3"/>
      <c r="K20" s="4"/>
    </row>
    <row r="21" spans="1:11" x14ac:dyDescent="0.25">
      <c r="A21" s="5" t="str">
        <f t="shared" si="0"/>
        <v/>
      </c>
      <c r="B21" s="3"/>
      <c r="C21" s="4"/>
      <c r="D21" s="4"/>
      <c r="E21" s="3"/>
      <c r="F21" s="3"/>
      <c r="G21" s="27"/>
      <c r="H21" s="28"/>
      <c r="I21" s="3"/>
      <c r="J21" s="3"/>
      <c r="K21" s="4"/>
    </row>
    <row r="22" spans="1:11" x14ac:dyDescent="0.25">
      <c r="A22" s="5" t="str">
        <f t="shared" si="0"/>
        <v/>
      </c>
      <c r="B22" s="3"/>
      <c r="C22" s="4"/>
      <c r="D22" s="4"/>
      <c r="E22" s="3"/>
      <c r="F22" s="3"/>
      <c r="G22" s="27"/>
      <c r="H22" s="28"/>
      <c r="I22" s="3"/>
      <c r="J22" s="3"/>
      <c r="K22" s="4"/>
    </row>
    <row r="23" spans="1:11" x14ac:dyDescent="0.25">
      <c r="A23" s="5" t="str">
        <f t="shared" si="0"/>
        <v/>
      </c>
      <c r="B23" s="3"/>
      <c r="C23" s="4"/>
      <c r="D23" s="4"/>
      <c r="E23" s="3"/>
      <c r="F23" s="3"/>
      <c r="G23" s="27"/>
      <c r="H23" s="28"/>
      <c r="I23" s="3"/>
      <c r="J23" s="3"/>
      <c r="K23" s="4"/>
    </row>
    <row r="24" spans="1:11" x14ac:dyDescent="0.25">
      <c r="A24" s="5" t="str">
        <f t="shared" si="0"/>
        <v/>
      </c>
      <c r="B24" s="3"/>
      <c r="C24" s="4"/>
      <c r="D24" s="4"/>
      <c r="E24" s="3"/>
      <c r="F24" s="3"/>
      <c r="G24" s="27"/>
      <c r="H24" s="28"/>
      <c r="I24" s="3"/>
      <c r="J24" s="3"/>
      <c r="K24" s="4"/>
    </row>
    <row r="25" spans="1:11" x14ac:dyDescent="0.25">
      <c r="A25" s="5" t="str">
        <f t="shared" si="0"/>
        <v/>
      </c>
      <c r="B25" s="3"/>
      <c r="C25" s="4"/>
      <c r="D25" s="4"/>
      <c r="E25" s="3"/>
      <c r="F25" s="3"/>
      <c r="G25" s="27"/>
      <c r="H25" s="28"/>
      <c r="I25" s="3"/>
      <c r="J25" s="3"/>
      <c r="K25" s="4"/>
    </row>
    <row r="26" spans="1:11" x14ac:dyDescent="0.25">
      <c r="A26" s="5" t="str">
        <f t="shared" si="0"/>
        <v/>
      </c>
      <c r="B26" s="3"/>
      <c r="C26" s="4"/>
      <c r="D26" s="4"/>
      <c r="E26" s="3"/>
      <c r="F26" s="3"/>
      <c r="G26" s="27"/>
      <c r="H26" s="28"/>
      <c r="I26" s="3"/>
      <c r="J26" s="3"/>
      <c r="K26" s="4"/>
    </row>
    <row r="27" spans="1:11" x14ac:dyDescent="0.25">
      <c r="A27" s="5" t="str">
        <f t="shared" si="0"/>
        <v/>
      </c>
      <c r="B27" s="3"/>
      <c r="C27" s="4"/>
      <c r="D27" s="4"/>
      <c r="E27" s="3"/>
      <c r="F27" s="3"/>
      <c r="G27" s="27"/>
      <c r="H27" s="28"/>
      <c r="I27" s="3"/>
      <c r="J27" s="3"/>
      <c r="K27" s="4"/>
    </row>
    <row r="28" spans="1:11" x14ac:dyDescent="0.25">
      <c r="A28" s="5" t="str">
        <f t="shared" si="0"/>
        <v/>
      </c>
      <c r="B28" s="3"/>
      <c r="C28" s="4"/>
      <c r="D28" s="4"/>
      <c r="E28" s="3"/>
      <c r="F28" s="3"/>
      <c r="G28" s="27"/>
      <c r="H28" s="28"/>
      <c r="I28" s="3"/>
      <c r="J28" s="3"/>
      <c r="K28" s="4"/>
    </row>
    <row r="29" spans="1:11" x14ac:dyDescent="0.25">
      <c r="A29" s="5" t="str">
        <f t="shared" si="0"/>
        <v/>
      </c>
      <c r="B29" s="3"/>
      <c r="C29" s="4"/>
      <c r="D29" s="4"/>
      <c r="E29" s="3"/>
      <c r="F29" s="3"/>
      <c r="G29" s="27"/>
      <c r="H29" s="28"/>
      <c r="I29" s="3"/>
      <c r="J29" s="3"/>
      <c r="K29" s="4"/>
    </row>
    <row r="30" spans="1:11" x14ac:dyDescent="0.25">
      <c r="A30" s="5" t="str">
        <f t="shared" si="0"/>
        <v/>
      </c>
      <c r="B30" s="3"/>
      <c r="C30" s="4"/>
      <c r="D30" s="4"/>
      <c r="E30" s="3"/>
      <c r="F30" s="3"/>
      <c r="G30" s="27"/>
      <c r="H30" s="28"/>
      <c r="I30" s="3"/>
      <c r="J30" s="3"/>
      <c r="K30" s="4"/>
    </row>
    <row r="31" spans="1:11" x14ac:dyDescent="0.25">
      <c r="A31" s="5" t="str">
        <f t="shared" si="0"/>
        <v/>
      </c>
      <c r="B31" s="3"/>
      <c r="C31" s="4"/>
      <c r="D31" s="4"/>
      <c r="E31" s="3"/>
      <c r="F31" s="3"/>
      <c r="G31" s="27"/>
      <c r="H31" s="28"/>
      <c r="I31" s="3"/>
      <c r="J31" s="3"/>
      <c r="K31" s="4"/>
    </row>
    <row r="32" spans="1:11" x14ac:dyDescent="0.25">
      <c r="A32" s="5" t="str">
        <f t="shared" si="0"/>
        <v/>
      </c>
      <c r="B32" s="3"/>
      <c r="C32" s="4"/>
      <c r="D32" s="4"/>
      <c r="E32" s="3"/>
      <c r="F32" s="3"/>
      <c r="G32" s="27"/>
      <c r="H32" s="28"/>
      <c r="I32" s="3"/>
      <c r="J32" s="3"/>
      <c r="K32" s="4"/>
    </row>
    <row r="33" spans="1:11" x14ac:dyDescent="0.25">
      <c r="A33" s="5" t="str">
        <f t="shared" si="0"/>
        <v/>
      </c>
      <c r="B33" s="3"/>
      <c r="C33" s="4"/>
      <c r="D33" s="4"/>
      <c r="E33" s="3"/>
      <c r="F33" s="3"/>
      <c r="G33" s="27"/>
      <c r="H33" s="28"/>
      <c r="I33" s="3"/>
      <c r="J33" s="3"/>
      <c r="K33" s="4"/>
    </row>
    <row r="34" spans="1:11" x14ac:dyDescent="0.25">
      <c r="A34" s="5" t="str">
        <f t="shared" si="0"/>
        <v/>
      </c>
      <c r="B34" s="3"/>
      <c r="C34" s="4"/>
      <c r="D34" s="4"/>
      <c r="E34" s="3"/>
      <c r="F34" s="3"/>
      <c r="G34" s="27"/>
      <c r="H34" s="28"/>
      <c r="I34" s="3"/>
      <c r="J34" s="3"/>
      <c r="K34" s="4"/>
    </row>
    <row r="35" spans="1:11" x14ac:dyDescent="0.25">
      <c r="A35" s="5" t="str">
        <f t="shared" si="0"/>
        <v/>
      </c>
      <c r="B35" s="3"/>
      <c r="C35" s="4"/>
      <c r="D35" s="4"/>
      <c r="E35" s="3"/>
      <c r="F35" s="3"/>
      <c r="G35" s="27"/>
      <c r="H35" s="28"/>
      <c r="I35" s="3"/>
      <c r="J35" s="3"/>
      <c r="K35" s="4"/>
    </row>
    <row r="36" spans="1:11" x14ac:dyDescent="0.25">
      <c r="A36" s="5" t="str">
        <f t="shared" si="0"/>
        <v/>
      </c>
      <c r="B36" s="3"/>
      <c r="C36" s="4"/>
      <c r="D36" s="4"/>
      <c r="E36" s="3"/>
      <c r="F36" s="3"/>
      <c r="G36" s="27"/>
      <c r="H36" s="28"/>
      <c r="I36" s="3"/>
      <c r="J36" s="3"/>
      <c r="K36" s="4"/>
    </row>
    <row r="37" spans="1:11" x14ac:dyDescent="0.25">
      <c r="A37" s="5" t="str">
        <f t="shared" si="0"/>
        <v/>
      </c>
      <c r="B37" s="3"/>
      <c r="C37" s="4"/>
      <c r="D37" s="4"/>
      <c r="E37" s="3"/>
      <c r="F37" s="3"/>
      <c r="G37" s="27"/>
      <c r="H37" s="28"/>
      <c r="I37" s="3"/>
      <c r="J37" s="3"/>
      <c r="K37" s="4"/>
    </row>
    <row r="38" spans="1:11" x14ac:dyDescent="0.25">
      <c r="A38" s="5" t="str">
        <f t="shared" ref="A38:A69" si="1">IF(B38="","",A37+1)</f>
        <v/>
      </c>
      <c r="B38" s="3"/>
      <c r="C38" s="4"/>
      <c r="D38" s="4"/>
      <c r="E38" s="3"/>
      <c r="F38" s="3"/>
      <c r="G38" s="27"/>
      <c r="H38" s="28"/>
      <c r="I38" s="3"/>
      <c r="J38" s="3"/>
      <c r="K38" s="4"/>
    </row>
    <row r="39" spans="1:11" x14ac:dyDescent="0.25">
      <c r="A39" s="5" t="str">
        <f t="shared" si="1"/>
        <v/>
      </c>
      <c r="B39" s="3"/>
      <c r="C39" s="4"/>
      <c r="D39" s="4"/>
      <c r="E39" s="3"/>
      <c r="F39" s="3"/>
      <c r="G39" s="27"/>
      <c r="H39" s="28"/>
      <c r="I39" s="3"/>
      <c r="J39" s="3"/>
      <c r="K39" s="4"/>
    </row>
    <row r="40" spans="1:11" x14ac:dyDescent="0.25">
      <c r="A40" s="5" t="str">
        <f t="shared" si="1"/>
        <v/>
      </c>
      <c r="B40" s="3"/>
      <c r="C40" s="4"/>
      <c r="D40" s="4"/>
      <c r="E40" s="3"/>
      <c r="F40" s="3"/>
      <c r="G40" s="27"/>
      <c r="H40" s="28"/>
      <c r="I40" s="3"/>
      <c r="J40" s="3"/>
      <c r="K40" s="4"/>
    </row>
    <row r="41" spans="1:11" x14ac:dyDescent="0.25">
      <c r="A41" s="5" t="str">
        <f t="shared" si="1"/>
        <v/>
      </c>
      <c r="B41" s="3"/>
      <c r="C41" s="4"/>
      <c r="D41" s="4"/>
      <c r="E41" s="3"/>
      <c r="F41" s="3"/>
      <c r="G41" s="27"/>
      <c r="H41" s="28"/>
      <c r="I41" s="3"/>
      <c r="J41" s="3"/>
      <c r="K41" s="4"/>
    </row>
    <row r="42" spans="1:11" x14ac:dyDescent="0.25">
      <c r="A42" s="5" t="str">
        <f t="shared" si="1"/>
        <v/>
      </c>
      <c r="B42" s="3"/>
      <c r="C42" s="4"/>
      <c r="D42" s="4"/>
      <c r="E42" s="3"/>
      <c r="F42" s="3"/>
      <c r="G42" s="27"/>
      <c r="H42" s="28"/>
      <c r="I42" s="3"/>
      <c r="J42" s="3"/>
      <c r="K42" s="4"/>
    </row>
    <row r="43" spans="1:11" x14ac:dyDescent="0.25">
      <c r="A43" s="5" t="str">
        <f t="shared" si="1"/>
        <v/>
      </c>
      <c r="B43" s="3"/>
      <c r="C43" s="4"/>
      <c r="D43" s="4"/>
      <c r="E43" s="3"/>
      <c r="F43" s="3"/>
      <c r="G43" s="27"/>
      <c r="H43" s="28"/>
      <c r="I43" s="3"/>
      <c r="J43" s="3"/>
      <c r="K43" s="4"/>
    </row>
    <row r="44" spans="1:11" x14ac:dyDescent="0.25">
      <c r="A44" s="5" t="str">
        <f t="shared" si="1"/>
        <v/>
      </c>
      <c r="B44" s="3"/>
      <c r="C44" s="4"/>
      <c r="D44" s="4"/>
      <c r="E44" s="3"/>
      <c r="F44" s="3"/>
      <c r="G44" s="27"/>
      <c r="H44" s="28"/>
      <c r="I44" s="3"/>
      <c r="J44" s="3"/>
      <c r="K44" s="4"/>
    </row>
    <row r="45" spans="1:11" x14ac:dyDescent="0.25">
      <c r="A45" s="5" t="str">
        <f t="shared" si="1"/>
        <v/>
      </c>
      <c r="B45" s="3"/>
      <c r="C45" s="4"/>
      <c r="D45" s="4"/>
      <c r="E45" s="3"/>
      <c r="F45" s="3"/>
      <c r="G45" s="27"/>
      <c r="H45" s="28"/>
      <c r="I45" s="3"/>
      <c r="J45" s="3"/>
      <c r="K45" s="4"/>
    </row>
    <row r="46" spans="1:11" x14ac:dyDescent="0.25">
      <c r="A46" s="5" t="str">
        <f t="shared" si="1"/>
        <v/>
      </c>
      <c r="B46" s="3"/>
      <c r="C46" s="4"/>
      <c r="D46" s="4"/>
      <c r="E46" s="3"/>
      <c r="F46" s="3"/>
      <c r="G46" s="27"/>
      <c r="H46" s="28"/>
      <c r="I46" s="3"/>
      <c r="J46" s="3"/>
      <c r="K46" s="4"/>
    </row>
    <row r="47" spans="1:11" x14ac:dyDescent="0.25">
      <c r="A47" s="5" t="str">
        <f t="shared" si="1"/>
        <v/>
      </c>
      <c r="B47" s="3"/>
      <c r="C47" s="4"/>
      <c r="D47" s="4"/>
      <c r="E47" s="3"/>
      <c r="F47" s="3"/>
      <c r="G47" s="27"/>
      <c r="H47" s="28"/>
      <c r="I47" s="3"/>
      <c r="J47" s="3"/>
      <c r="K47" s="4"/>
    </row>
    <row r="48" spans="1:11" x14ac:dyDescent="0.25">
      <c r="A48" s="5" t="str">
        <f t="shared" si="1"/>
        <v/>
      </c>
      <c r="B48" s="3"/>
      <c r="C48" s="4"/>
      <c r="D48" s="4"/>
      <c r="E48" s="3"/>
      <c r="F48" s="3"/>
      <c r="G48" s="27"/>
      <c r="H48" s="28"/>
      <c r="I48" s="3"/>
      <c r="J48" s="3"/>
      <c r="K48" s="4"/>
    </row>
    <row r="49" spans="1:11" x14ac:dyDescent="0.25">
      <c r="A49" s="5" t="str">
        <f t="shared" si="1"/>
        <v/>
      </c>
      <c r="B49" s="3"/>
      <c r="C49" s="4"/>
      <c r="D49" s="4"/>
      <c r="E49" s="3"/>
      <c r="F49" s="3"/>
      <c r="G49" s="27"/>
      <c r="H49" s="28"/>
      <c r="I49" s="3"/>
      <c r="J49" s="3"/>
      <c r="K49" s="4"/>
    </row>
    <row r="50" spans="1:11" x14ac:dyDescent="0.25">
      <c r="A50" s="5" t="str">
        <f t="shared" si="1"/>
        <v/>
      </c>
      <c r="B50" s="3"/>
      <c r="C50" s="4"/>
      <c r="D50" s="4"/>
      <c r="E50" s="3"/>
      <c r="F50" s="3"/>
      <c r="G50" s="27"/>
      <c r="H50" s="28"/>
      <c r="I50" s="3"/>
      <c r="J50" s="3"/>
      <c r="K50" s="4"/>
    </row>
    <row r="51" spans="1:11" x14ac:dyDescent="0.25">
      <c r="A51" s="5" t="str">
        <f t="shared" si="1"/>
        <v/>
      </c>
      <c r="B51" s="3"/>
      <c r="C51" s="4"/>
      <c r="D51" s="4"/>
      <c r="E51" s="3"/>
      <c r="F51" s="3"/>
      <c r="G51" s="27"/>
      <c r="H51" s="28"/>
      <c r="I51" s="3"/>
      <c r="J51" s="3"/>
      <c r="K51" s="4"/>
    </row>
    <row r="52" spans="1:11" x14ac:dyDescent="0.25">
      <c r="A52" s="5" t="str">
        <f t="shared" si="1"/>
        <v/>
      </c>
      <c r="B52" s="3"/>
      <c r="C52" s="4"/>
      <c r="D52" s="4"/>
      <c r="E52" s="3"/>
      <c r="F52" s="3"/>
      <c r="G52" s="27"/>
      <c r="H52" s="28"/>
      <c r="I52" s="3"/>
      <c r="J52" s="3"/>
      <c r="K52" s="4"/>
    </row>
    <row r="53" spans="1:11" x14ac:dyDescent="0.25">
      <c r="A53" s="5" t="str">
        <f t="shared" si="1"/>
        <v/>
      </c>
      <c r="B53" s="3"/>
      <c r="C53" s="4"/>
      <c r="D53" s="4"/>
      <c r="E53" s="3"/>
      <c r="F53" s="3"/>
      <c r="G53" s="27"/>
      <c r="H53" s="28"/>
      <c r="I53" s="3"/>
      <c r="J53" s="3"/>
      <c r="K53" s="4"/>
    </row>
    <row r="54" spans="1:11" x14ac:dyDescent="0.25">
      <c r="A54" s="5" t="str">
        <f t="shared" si="1"/>
        <v/>
      </c>
      <c r="B54" s="3"/>
      <c r="C54" s="4"/>
      <c r="D54" s="4"/>
      <c r="E54" s="3"/>
      <c r="F54" s="3"/>
      <c r="G54" s="27"/>
      <c r="H54" s="28"/>
      <c r="I54" s="3"/>
      <c r="J54" s="3"/>
      <c r="K54" s="4"/>
    </row>
    <row r="55" spans="1:11" x14ac:dyDescent="0.25">
      <c r="A55" s="5" t="str">
        <f t="shared" si="1"/>
        <v/>
      </c>
      <c r="B55" s="3"/>
      <c r="C55" s="4"/>
      <c r="D55" s="4"/>
      <c r="E55" s="3"/>
      <c r="F55" s="3"/>
      <c r="G55" s="27"/>
      <c r="H55" s="28"/>
      <c r="I55" s="3"/>
      <c r="J55" s="3"/>
      <c r="K55" s="4"/>
    </row>
    <row r="56" spans="1:11" x14ac:dyDescent="0.25">
      <c r="A56" s="5" t="str">
        <f t="shared" si="1"/>
        <v/>
      </c>
      <c r="B56" s="3"/>
      <c r="C56" s="4"/>
      <c r="D56" s="4"/>
      <c r="E56" s="3"/>
      <c r="F56" s="3"/>
      <c r="G56" s="27"/>
      <c r="H56" s="28"/>
      <c r="I56" s="3"/>
      <c r="J56" s="3"/>
      <c r="K56" s="4"/>
    </row>
    <row r="57" spans="1:11" x14ac:dyDescent="0.25">
      <c r="A57" s="5" t="str">
        <f t="shared" si="1"/>
        <v/>
      </c>
      <c r="B57" s="3"/>
      <c r="C57" s="4"/>
      <c r="D57" s="4"/>
      <c r="E57" s="3"/>
      <c r="F57" s="3"/>
      <c r="G57" s="27"/>
      <c r="H57" s="28"/>
      <c r="I57" s="3"/>
      <c r="J57" s="3"/>
      <c r="K57" s="4"/>
    </row>
    <row r="58" spans="1:11" x14ac:dyDescent="0.25">
      <c r="A58" s="5" t="str">
        <f t="shared" si="1"/>
        <v/>
      </c>
      <c r="B58" s="3"/>
      <c r="C58" s="4"/>
      <c r="D58" s="4"/>
      <c r="E58" s="3"/>
      <c r="F58" s="3"/>
      <c r="G58" s="27"/>
      <c r="H58" s="28"/>
      <c r="I58" s="3"/>
      <c r="J58" s="3"/>
      <c r="K58" s="4"/>
    </row>
    <row r="59" spans="1:11" x14ac:dyDescent="0.25">
      <c r="A59" s="5" t="str">
        <f t="shared" si="1"/>
        <v/>
      </c>
      <c r="B59" s="3"/>
      <c r="C59" s="4"/>
      <c r="D59" s="4"/>
      <c r="E59" s="3"/>
      <c r="F59" s="3"/>
      <c r="G59" s="27"/>
      <c r="H59" s="28"/>
      <c r="I59" s="3"/>
      <c r="J59" s="3"/>
      <c r="K59" s="4"/>
    </row>
    <row r="60" spans="1:11" x14ac:dyDescent="0.25">
      <c r="A60" s="5" t="str">
        <f t="shared" si="1"/>
        <v/>
      </c>
      <c r="B60" s="3"/>
      <c r="C60" s="4"/>
      <c r="D60" s="4"/>
      <c r="E60" s="3"/>
      <c r="F60" s="3"/>
      <c r="G60" s="27"/>
      <c r="H60" s="28"/>
      <c r="I60" s="3"/>
      <c r="J60" s="3"/>
      <c r="K60" s="4"/>
    </row>
    <row r="61" spans="1:11" x14ac:dyDescent="0.25">
      <c r="A61" s="5" t="str">
        <f t="shared" si="1"/>
        <v/>
      </c>
      <c r="B61" s="3"/>
      <c r="C61" s="4"/>
      <c r="D61" s="4"/>
      <c r="E61" s="3"/>
      <c r="F61" s="3"/>
      <c r="G61" s="27"/>
      <c r="H61" s="28"/>
      <c r="I61" s="3"/>
      <c r="J61" s="3"/>
      <c r="K61" s="4"/>
    </row>
    <row r="62" spans="1:11" x14ac:dyDescent="0.25">
      <c r="A62" s="5" t="str">
        <f t="shared" si="1"/>
        <v/>
      </c>
      <c r="B62" s="3"/>
      <c r="C62" s="4"/>
      <c r="D62" s="4"/>
      <c r="E62" s="3"/>
      <c r="F62" s="3"/>
      <c r="G62" s="27"/>
      <c r="H62" s="28"/>
      <c r="I62" s="3"/>
      <c r="J62" s="3"/>
      <c r="K62" s="4"/>
    </row>
    <row r="63" spans="1:11" x14ac:dyDescent="0.25">
      <c r="A63" s="5" t="str">
        <f t="shared" si="1"/>
        <v/>
      </c>
      <c r="B63" s="3"/>
      <c r="C63" s="4"/>
      <c r="D63" s="4"/>
      <c r="E63" s="3"/>
      <c r="F63" s="3"/>
      <c r="G63" s="27"/>
      <c r="H63" s="28"/>
      <c r="I63" s="3"/>
      <c r="J63" s="3"/>
      <c r="K63" s="4"/>
    </row>
    <row r="64" spans="1:11" x14ac:dyDescent="0.25">
      <c r="A64" s="5" t="str">
        <f t="shared" si="1"/>
        <v/>
      </c>
      <c r="B64" s="3"/>
      <c r="C64" s="4"/>
      <c r="D64" s="4"/>
      <c r="E64" s="3"/>
      <c r="F64" s="3"/>
      <c r="G64" s="27"/>
      <c r="H64" s="28"/>
      <c r="I64" s="3"/>
      <c r="J64" s="3"/>
      <c r="K64" s="4"/>
    </row>
    <row r="65" spans="1:11" x14ac:dyDescent="0.25">
      <c r="A65" s="5" t="str">
        <f t="shared" si="1"/>
        <v/>
      </c>
      <c r="B65" s="3"/>
      <c r="C65" s="4"/>
      <c r="D65" s="4"/>
      <c r="E65" s="3"/>
      <c r="F65" s="3"/>
      <c r="G65" s="27"/>
      <c r="H65" s="28"/>
      <c r="I65" s="3"/>
      <c r="J65" s="3"/>
      <c r="K65" s="4"/>
    </row>
    <row r="66" spans="1:11" x14ac:dyDescent="0.25">
      <c r="A66" s="5" t="str">
        <f t="shared" si="1"/>
        <v/>
      </c>
      <c r="B66" s="3"/>
      <c r="C66" s="4"/>
      <c r="D66" s="4"/>
      <c r="E66" s="3"/>
      <c r="F66" s="3"/>
      <c r="G66" s="27"/>
      <c r="H66" s="28"/>
      <c r="I66" s="3"/>
      <c r="J66" s="3"/>
      <c r="K66" s="4"/>
    </row>
    <row r="67" spans="1:11" x14ac:dyDescent="0.25">
      <c r="A67" s="5" t="str">
        <f t="shared" si="1"/>
        <v/>
      </c>
      <c r="B67" s="3"/>
      <c r="C67" s="4"/>
      <c r="D67" s="4"/>
      <c r="E67" s="3"/>
      <c r="F67" s="3"/>
      <c r="G67" s="27"/>
      <c r="H67" s="28"/>
      <c r="I67" s="3"/>
      <c r="J67" s="3"/>
      <c r="K67" s="4"/>
    </row>
    <row r="68" spans="1:11" x14ac:dyDescent="0.25">
      <c r="A68" s="5" t="str">
        <f t="shared" si="1"/>
        <v/>
      </c>
      <c r="B68" s="3"/>
      <c r="C68" s="4"/>
      <c r="D68" s="4"/>
      <c r="E68" s="3"/>
      <c r="F68" s="3"/>
      <c r="G68" s="27"/>
      <c r="H68" s="28"/>
      <c r="I68" s="3"/>
      <c r="J68" s="3"/>
      <c r="K68" s="4"/>
    </row>
    <row r="69" spans="1:11" x14ac:dyDescent="0.25">
      <c r="A69" s="5" t="str">
        <f t="shared" si="1"/>
        <v/>
      </c>
      <c r="B69" s="3"/>
      <c r="C69" s="4"/>
      <c r="D69" s="4"/>
      <c r="E69" s="3"/>
      <c r="F69" s="3"/>
      <c r="G69" s="27"/>
      <c r="H69" s="28"/>
      <c r="I69" s="3"/>
      <c r="J69" s="3"/>
      <c r="K69" s="4"/>
    </row>
    <row r="70" spans="1:11" x14ac:dyDescent="0.25">
      <c r="A70" s="5" t="str">
        <f t="shared" ref="A70:A101" si="2">IF(B70="","",A69+1)</f>
        <v/>
      </c>
      <c r="B70" s="3"/>
      <c r="C70" s="4"/>
      <c r="D70" s="4"/>
      <c r="E70" s="3"/>
      <c r="F70" s="3"/>
      <c r="G70" s="27"/>
      <c r="H70" s="28"/>
      <c r="I70" s="3"/>
      <c r="J70" s="3"/>
      <c r="K70" s="4"/>
    </row>
    <row r="71" spans="1:11" x14ac:dyDescent="0.25">
      <c r="A71" s="5" t="str">
        <f t="shared" si="2"/>
        <v/>
      </c>
      <c r="B71" s="3"/>
      <c r="C71" s="4"/>
      <c r="D71" s="4"/>
      <c r="E71" s="3"/>
      <c r="F71" s="3"/>
      <c r="G71" s="27"/>
      <c r="H71" s="28"/>
      <c r="I71" s="3"/>
      <c r="J71" s="3"/>
      <c r="K71" s="4"/>
    </row>
    <row r="72" spans="1:11" x14ac:dyDescent="0.25">
      <c r="A72" s="5" t="str">
        <f t="shared" si="2"/>
        <v/>
      </c>
      <c r="B72" s="3"/>
      <c r="C72" s="4"/>
      <c r="D72" s="4"/>
      <c r="E72" s="3"/>
      <c r="F72" s="3"/>
      <c r="G72" s="27"/>
      <c r="H72" s="28"/>
      <c r="I72" s="3"/>
      <c r="J72" s="3"/>
      <c r="K72" s="4"/>
    </row>
    <row r="73" spans="1:11" x14ac:dyDescent="0.25">
      <c r="A73" s="5" t="str">
        <f t="shared" si="2"/>
        <v/>
      </c>
      <c r="B73" s="3"/>
      <c r="C73" s="4"/>
      <c r="D73" s="4"/>
      <c r="E73" s="3"/>
      <c r="F73" s="3"/>
      <c r="G73" s="27"/>
      <c r="H73" s="28"/>
      <c r="I73" s="3"/>
      <c r="J73" s="3"/>
      <c r="K73" s="4"/>
    </row>
    <row r="74" spans="1:11" x14ac:dyDescent="0.25">
      <c r="A74" s="5" t="str">
        <f t="shared" si="2"/>
        <v/>
      </c>
      <c r="B74" s="3"/>
      <c r="C74" s="4"/>
      <c r="D74" s="4"/>
      <c r="E74" s="3"/>
      <c r="F74" s="3"/>
      <c r="G74" s="27"/>
      <c r="H74" s="28"/>
      <c r="I74" s="3"/>
      <c r="J74" s="3"/>
      <c r="K74" s="4"/>
    </row>
    <row r="75" spans="1:11" x14ac:dyDescent="0.25">
      <c r="A75" s="5" t="str">
        <f t="shared" si="2"/>
        <v/>
      </c>
      <c r="B75" s="3"/>
      <c r="C75" s="4"/>
      <c r="D75" s="4"/>
      <c r="E75" s="3"/>
      <c r="F75" s="3"/>
      <c r="G75" s="27"/>
      <c r="H75" s="28"/>
      <c r="I75" s="3"/>
      <c r="J75" s="3"/>
      <c r="K75" s="4"/>
    </row>
    <row r="76" spans="1:11" x14ac:dyDescent="0.25">
      <c r="A76" s="5" t="str">
        <f t="shared" si="2"/>
        <v/>
      </c>
      <c r="B76" s="3"/>
      <c r="C76" s="4"/>
      <c r="D76" s="4"/>
      <c r="E76" s="3"/>
      <c r="F76" s="3"/>
      <c r="G76" s="27"/>
      <c r="H76" s="28"/>
      <c r="I76" s="3"/>
      <c r="J76" s="3"/>
      <c r="K76" s="4"/>
    </row>
    <row r="77" spans="1:11" x14ac:dyDescent="0.25">
      <c r="A77" s="5" t="str">
        <f t="shared" si="2"/>
        <v/>
      </c>
      <c r="B77" s="3"/>
      <c r="C77" s="4"/>
      <c r="D77" s="4"/>
      <c r="E77" s="3"/>
      <c r="F77" s="3"/>
      <c r="G77" s="27"/>
      <c r="H77" s="28"/>
      <c r="I77" s="3"/>
      <c r="J77" s="3"/>
      <c r="K77" s="4"/>
    </row>
    <row r="78" spans="1:11" x14ac:dyDescent="0.25">
      <c r="A78" s="5" t="str">
        <f t="shared" si="2"/>
        <v/>
      </c>
      <c r="B78" s="3"/>
      <c r="C78" s="4"/>
      <c r="D78" s="4"/>
      <c r="E78" s="3"/>
      <c r="F78" s="3"/>
      <c r="G78" s="27"/>
      <c r="H78" s="28"/>
      <c r="I78" s="3"/>
      <c r="J78" s="3"/>
      <c r="K78" s="4"/>
    </row>
    <row r="79" spans="1:11" x14ac:dyDescent="0.25">
      <c r="A79" s="5" t="str">
        <f t="shared" si="2"/>
        <v/>
      </c>
      <c r="B79" s="3"/>
      <c r="C79" s="4"/>
      <c r="D79" s="4"/>
      <c r="E79" s="3"/>
      <c r="F79" s="3"/>
      <c r="G79" s="27"/>
      <c r="H79" s="28"/>
      <c r="I79" s="3"/>
      <c r="J79" s="3"/>
      <c r="K79" s="4"/>
    </row>
    <row r="80" spans="1:11" x14ac:dyDescent="0.25">
      <c r="A80" s="5" t="str">
        <f t="shared" si="2"/>
        <v/>
      </c>
      <c r="B80" s="3"/>
      <c r="C80" s="4"/>
      <c r="D80" s="4"/>
      <c r="E80" s="3"/>
      <c r="F80" s="3"/>
      <c r="G80" s="27"/>
      <c r="H80" s="28"/>
      <c r="I80" s="3"/>
      <c r="J80" s="3"/>
      <c r="K80" s="4"/>
    </row>
    <row r="81" spans="1:11" x14ac:dyDescent="0.25">
      <c r="A81" s="5" t="str">
        <f t="shared" si="2"/>
        <v/>
      </c>
      <c r="B81" s="3"/>
      <c r="C81" s="4"/>
      <c r="D81" s="4"/>
      <c r="E81" s="3"/>
      <c r="F81" s="3"/>
      <c r="G81" s="27"/>
      <c r="H81" s="28"/>
      <c r="I81" s="3"/>
      <c r="J81" s="3"/>
      <c r="K81" s="4"/>
    </row>
    <row r="82" spans="1:11" x14ac:dyDescent="0.25">
      <c r="A82" s="5" t="str">
        <f t="shared" si="2"/>
        <v/>
      </c>
      <c r="B82" s="3"/>
      <c r="C82" s="4"/>
      <c r="D82" s="4"/>
      <c r="E82" s="3"/>
      <c r="F82" s="3"/>
      <c r="G82" s="27"/>
      <c r="H82" s="28"/>
      <c r="I82" s="3"/>
      <c r="J82" s="3"/>
      <c r="K82" s="4"/>
    </row>
    <row r="83" spans="1:11" x14ac:dyDescent="0.25">
      <c r="A83" s="5" t="str">
        <f t="shared" si="2"/>
        <v/>
      </c>
      <c r="B83" s="3"/>
      <c r="C83" s="4"/>
      <c r="D83" s="4"/>
      <c r="E83" s="3"/>
      <c r="F83" s="3"/>
      <c r="G83" s="27"/>
      <c r="H83" s="28"/>
      <c r="I83" s="3"/>
      <c r="J83" s="3"/>
      <c r="K83" s="4"/>
    </row>
    <row r="84" spans="1:11" x14ac:dyDescent="0.25">
      <c r="A84" s="5" t="str">
        <f t="shared" si="2"/>
        <v/>
      </c>
      <c r="B84" s="3"/>
      <c r="C84" s="4"/>
      <c r="D84" s="4"/>
      <c r="E84" s="3"/>
      <c r="F84" s="3"/>
      <c r="G84" s="27"/>
      <c r="H84" s="28"/>
      <c r="I84" s="3"/>
      <c r="J84" s="3"/>
      <c r="K84" s="4"/>
    </row>
    <row r="85" spans="1:11" x14ac:dyDescent="0.25">
      <c r="A85" s="5" t="str">
        <f t="shared" si="2"/>
        <v/>
      </c>
      <c r="B85" s="3"/>
      <c r="C85" s="4"/>
      <c r="D85" s="4"/>
      <c r="E85" s="3"/>
      <c r="F85" s="3"/>
      <c r="G85" s="27"/>
      <c r="H85" s="28"/>
      <c r="I85" s="3"/>
      <c r="J85" s="3"/>
      <c r="K85" s="4"/>
    </row>
    <row r="86" spans="1:11" x14ac:dyDescent="0.25">
      <c r="A86" s="5" t="str">
        <f t="shared" si="2"/>
        <v/>
      </c>
      <c r="B86" s="3"/>
      <c r="C86" s="4"/>
      <c r="D86" s="4"/>
      <c r="E86" s="3"/>
      <c r="F86" s="3"/>
      <c r="G86" s="27"/>
      <c r="H86" s="28"/>
      <c r="I86" s="3"/>
      <c r="J86" s="3"/>
      <c r="K86" s="4"/>
    </row>
    <row r="87" spans="1:11" x14ac:dyDescent="0.25">
      <c r="A87" s="5" t="str">
        <f t="shared" si="2"/>
        <v/>
      </c>
      <c r="B87" s="3"/>
      <c r="C87" s="4"/>
      <c r="D87" s="4"/>
      <c r="E87" s="3"/>
      <c r="F87" s="3"/>
      <c r="G87" s="27"/>
      <c r="H87" s="28"/>
      <c r="I87" s="3"/>
      <c r="J87" s="3"/>
      <c r="K87" s="4"/>
    </row>
    <row r="88" spans="1:11" x14ac:dyDescent="0.25">
      <c r="A88" s="5" t="str">
        <f t="shared" si="2"/>
        <v/>
      </c>
      <c r="B88" s="3"/>
      <c r="C88" s="4"/>
      <c r="D88" s="4"/>
      <c r="E88" s="3"/>
      <c r="F88" s="3"/>
      <c r="G88" s="27"/>
      <c r="H88" s="28"/>
      <c r="I88" s="3"/>
      <c r="J88" s="3"/>
      <c r="K88" s="4"/>
    </row>
    <row r="89" spans="1:11" x14ac:dyDescent="0.25">
      <c r="A89" s="5" t="str">
        <f t="shared" si="2"/>
        <v/>
      </c>
      <c r="B89" s="3"/>
      <c r="C89" s="4"/>
      <c r="D89" s="4"/>
      <c r="E89" s="3"/>
      <c r="F89" s="3"/>
      <c r="G89" s="27"/>
      <c r="H89" s="28"/>
      <c r="I89" s="3"/>
      <c r="J89" s="3"/>
      <c r="K89" s="4"/>
    </row>
    <row r="90" spans="1:11" x14ac:dyDescent="0.25">
      <c r="A90" s="5" t="str">
        <f t="shared" si="2"/>
        <v/>
      </c>
      <c r="B90" s="3"/>
      <c r="C90" s="4"/>
      <c r="D90" s="4"/>
      <c r="E90" s="3"/>
      <c r="F90" s="3"/>
      <c r="G90" s="27"/>
      <c r="H90" s="28"/>
      <c r="I90" s="3"/>
      <c r="J90" s="3"/>
      <c r="K90" s="4"/>
    </row>
    <row r="91" spans="1:11" x14ac:dyDescent="0.25">
      <c r="A91" s="5" t="str">
        <f t="shared" si="2"/>
        <v/>
      </c>
      <c r="B91" s="3"/>
      <c r="C91" s="4"/>
      <c r="D91" s="4"/>
      <c r="E91" s="3"/>
      <c r="F91" s="3"/>
      <c r="G91" s="27"/>
      <c r="H91" s="28"/>
      <c r="I91" s="3"/>
      <c r="J91" s="3"/>
      <c r="K91" s="4"/>
    </row>
    <row r="92" spans="1:11" x14ac:dyDescent="0.25">
      <c r="A92" s="5" t="str">
        <f t="shared" si="2"/>
        <v/>
      </c>
      <c r="B92" s="3"/>
      <c r="C92" s="4"/>
      <c r="D92" s="4"/>
      <c r="E92" s="3"/>
      <c r="F92" s="3"/>
      <c r="G92" s="27"/>
      <c r="H92" s="28"/>
      <c r="I92" s="3"/>
      <c r="J92" s="3"/>
      <c r="K92" s="4"/>
    </row>
    <row r="93" spans="1:11" x14ac:dyDescent="0.25">
      <c r="A93" s="5" t="str">
        <f t="shared" si="2"/>
        <v/>
      </c>
      <c r="B93" s="3"/>
      <c r="C93" s="4"/>
      <c r="D93" s="4"/>
      <c r="E93" s="3"/>
      <c r="F93" s="3"/>
      <c r="G93" s="27"/>
      <c r="H93" s="28"/>
      <c r="I93" s="3"/>
      <c r="J93" s="3"/>
      <c r="K93" s="4"/>
    </row>
    <row r="94" spans="1:11" x14ac:dyDescent="0.25">
      <c r="A94" s="5" t="str">
        <f t="shared" si="2"/>
        <v/>
      </c>
      <c r="B94" s="3"/>
      <c r="C94" s="4"/>
      <c r="D94" s="4"/>
      <c r="E94" s="3"/>
      <c r="F94" s="3"/>
      <c r="G94" s="27"/>
      <c r="H94" s="28"/>
      <c r="I94" s="3"/>
      <c r="J94" s="3"/>
      <c r="K94" s="4"/>
    </row>
    <row r="95" spans="1:11" x14ac:dyDescent="0.25">
      <c r="A95" s="5" t="str">
        <f t="shared" si="2"/>
        <v/>
      </c>
      <c r="B95" s="3"/>
      <c r="C95" s="4"/>
      <c r="D95" s="4"/>
      <c r="E95" s="3"/>
      <c r="F95" s="3"/>
      <c r="G95" s="27"/>
      <c r="H95" s="28"/>
      <c r="I95" s="3"/>
      <c r="J95" s="3"/>
      <c r="K95" s="4"/>
    </row>
    <row r="96" spans="1:11" x14ac:dyDescent="0.25">
      <c r="A96" s="5" t="str">
        <f t="shared" si="2"/>
        <v/>
      </c>
      <c r="B96" s="3"/>
      <c r="C96" s="4"/>
      <c r="D96" s="4"/>
      <c r="E96" s="3"/>
      <c r="F96" s="3"/>
      <c r="G96" s="27"/>
      <c r="H96" s="28"/>
      <c r="I96" s="3"/>
      <c r="J96" s="3"/>
      <c r="K96" s="4"/>
    </row>
    <row r="97" spans="1:11" x14ac:dyDescent="0.25">
      <c r="A97" s="5" t="str">
        <f t="shared" si="2"/>
        <v/>
      </c>
      <c r="B97" s="3"/>
      <c r="C97" s="4"/>
      <c r="D97" s="4"/>
      <c r="E97" s="3"/>
      <c r="F97" s="3"/>
      <c r="G97" s="27"/>
      <c r="H97" s="28"/>
      <c r="I97" s="3"/>
      <c r="J97" s="3"/>
      <c r="K97" s="4"/>
    </row>
    <row r="98" spans="1:11" x14ac:dyDescent="0.25">
      <c r="A98" s="5" t="str">
        <f t="shared" si="2"/>
        <v/>
      </c>
      <c r="B98" s="3"/>
      <c r="C98" s="4"/>
      <c r="D98" s="4"/>
      <c r="E98" s="3"/>
      <c r="F98" s="3"/>
      <c r="G98" s="27"/>
      <c r="H98" s="28"/>
      <c r="I98" s="3"/>
      <c r="J98" s="3"/>
      <c r="K98" s="4"/>
    </row>
    <row r="99" spans="1:11" x14ac:dyDescent="0.25">
      <c r="A99" s="5" t="str">
        <f t="shared" si="2"/>
        <v/>
      </c>
      <c r="B99" s="3"/>
      <c r="C99" s="4"/>
      <c r="D99" s="4"/>
      <c r="E99" s="3"/>
      <c r="F99" s="3"/>
      <c r="G99" s="27"/>
      <c r="H99" s="28"/>
      <c r="I99" s="3"/>
      <c r="J99" s="3"/>
      <c r="K99" s="4"/>
    </row>
    <row r="100" spans="1:11" x14ac:dyDescent="0.25">
      <c r="A100" s="5" t="str">
        <f t="shared" si="2"/>
        <v/>
      </c>
      <c r="B100" s="3"/>
      <c r="C100" s="4"/>
      <c r="D100" s="4"/>
      <c r="E100" s="3"/>
      <c r="F100" s="3"/>
      <c r="G100" s="27"/>
      <c r="H100" s="28"/>
      <c r="I100" s="3"/>
      <c r="J100" s="3"/>
      <c r="K100" s="4"/>
    </row>
    <row r="101" spans="1:11" x14ac:dyDescent="0.25">
      <c r="A101" s="5" t="str">
        <f t="shared" si="2"/>
        <v/>
      </c>
      <c r="B101" s="3"/>
      <c r="C101" s="4"/>
      <c r="D101" s="4"/>
      <c r="E101" s="3"/>
      <c r="F101" s="3"/>
      <c r="G101" s="27"/>
      <c r="H101" s="28"/>
      <c r="I101" s="3"/>
      <c r="J101" s="3"/>
      <c r="K101" s="4"/>
    </row>
    <row r="102" spans="1:11" x14ac:dyDescent="0.25">
      <c r="A102" s="5" t="str">
        <f t="shared" ref="A102:A133" si="3">IF(B102="","",A101+1)</f>
        <v/>
      </c>
      <c r="B102" s="3"/>
      <c r="C102" s="4"/>
      <c r="D102" s="4"/>
      <c r="E102" s="3"/>
      <c r="F102" s="3"/>
      <c r="G102" s="27"/>
      <c r="H102" s="28"/>
      <c r="I102" s="3"/>
      <c r="J102" s="3"/>
      <c r="K102" s="4"/>
    </row>
    <row r="103" spans="1:11" x14ac:dyDescent="0.25">
      <c r="A103" s="5" t="str">
        <f t="shared" si="3"/>
        <v/>
      </c>
      <c r="B103" s="3"/>
      <c r="C103" s="4"/>
      <c r="D103" s="4"/>
      <c r="E103" s="3"/>
      <c r="F103" s="3"/>
      <c r="G103" s="27"/>
      <c r="H103" s="28"/>
      <c r="I103" s="3"/>
      <c r="J103" s="3"/>
      <c r="K103" s="4"/>
    </row>
    <row r="104" spans="1:11" x14ac:dyDescent="0.25">
      <c r="A104" s="5" t="str">
        <f t="shared" si="3"/>
        <v/>
      </c>
      <c r="B104" s="3"/>
      <c r="C104" s="4"/>
      <c r="D104" s="4"/>
      <c r="E104" s="3"/>
      <c r="F104" s="3"/>
      <c r="G104" s="27"/>
      <c r="H104" s="28"/>
      <c r="I104" s="3"/>
      <c r="J104" s="3"/>
      <c r="K104" s="4"/>
    </row>
    <row r="105" spans="1:11" x14ac:dyDescent="0.25">
      <c r="A105" s="5" t="str">
        <f t="shared" si="3"/>
        <v/>
      </c>
      <c r="B105" s="3"/>
      <c r="C105" s="4"/>
      <c r="D105" s="4"/>
      <c r="E105" s="3"/>
      <c r="F105" s="3"/>
      <c r="G105" s="27"/>
      <c r="H105" s="28"/>
      <c r="I105" s="3"/>
      <c r="J105" s="3"/>
      <c r="K105" s="4"/>
    </row>
    <row r="106" spans="1:11" x14ac:dyDescent="0.25">
      <c r="A106" s="5" t="str">
        <f t="shared" si="3"/>
        <v/>
      </c>
      <c r="B106" s="3"/>
      <c r="C106" s="4"/>
      <c r="D106" s="4"/>
      <c r="E106" s="3"/>
      <c r="F106" s="3"/>
      <c r="G106" s="27"/>
      <c r="H106" s="28"/>
      <c r="I106" s="3"/>
      <c r="J106" s="3"/>
      <c r="K106" s="4"/>
    </row>
    <row r="107" spans="1:11" x14ac:dyDescent="0.25">
      <c r="A107" s="5" t="str">
        <f t="shared" si="3"/>
        <v/>
      </c>
      <c r="B107" s="3"/>
      <c r="C107" s="4"/>
      <c r="D107" s="4"/>
      <c r="E107" s="3"/>
      <c r="F107" s="3"/>
      <c r="G107" s="27"/>
      <c r="H107" s="28"/>
      <c r="I107" s="3"/>
      <c r="J107" s="3"/>
      <c r="K107" s="4"/>
    </row>
    <row r="108" spans="1:11" x14ac:dyDescent="0.25">
      <c r="A108" s="5" t="str">
        <f t="shared" si="3"/>
        <v/>
      </c>
      <c r="B108" s="3"/>
      <c r="C108" s="4"/>
      <c r="D108" s="4"/>
      <c r="E108" s="3"/>
      <c r="F108" s="3"/>
      <c r="G108" s="27"/>
      <c r="H108" s="28"/>
      <c r="I108" s="3"/>
      <c r="J108" s="3"/>
      <c r="K108" s="4"/>
    </row>
    <row r="109" spans="1:11" x14ac:dyDescent="0.25">
      <c r="A109" s="5" t="str">
        <f t="shared" si="3"/>
        <v/>
      </c>
      <c r="B109" s="3"/>
      <c r="C109" s="4"/>
      <c r="D109" s="4"/>
      <c r="E109" s="3"/>
      <c r="F109" s="3"/>
      <c r="G109" s="27"/>
      <c r="H109" s="28"/>
      <c r="I109" s="3"/>
      <c r="J109" s="3"/>
      <c r="K109" s="4"/>
    </row>
    <row r="110" spans="1:11" x14ac:dyDescent="0.25">
      <c r="A110" s="5" t="str">
        <f t="shared" si="3"/>
        <v/>
      </c>
      <c r="B110" s="3"/>
      <c r="C110" s="4"/>
      <c r="D110" s="4"/>
      <c r="E110" s="3"/>
      <c r="F110" s="3"/>
      <c r="G110" s="27"/>
      <c r="H110" s="28"/>
      <c r="I110" s="3"/>
      <c r="J110" s="3"/>
      <c r="K110" s="4"/>
    </row>
    <row r="111" spans="1:11" x14ac:dyDescent="0.25">
      <c r="A111" s="5" t="str">
        <f t="shared" si="3"/>
        <v/>
      </c>
      <c r="B111" s="3"/>
      <c r="C111" s="4"/>
      <c r="D111" s="4"/>
      <c r="E111" s="3"/>
      <c r="F111" s="3"/>
      <c r="G111" s="27"/>
      <c r="H111" s="28"/>
      <c r="I111" s="3"/>
      <c r="J111" s="3"/>
      <c r="K111" s="4"/>
    </row>
    <row r="112" spans="1:11" x14ac:dyDescent="0.25">
      <c r="A112" s="5" t="str">
        <f t="shared" si="3"/>
        <v/>
      </c>
      <c r="B112" s="3"/>
      <c r="C112" s="4"/>
      <c r="D112" s="4"/>
      <c r="E112" s="3"/>
      <c r="F112" s="3"/>
      <c r="G112" s="27"/>
      <c r="H112" s="28"/>
      <c r="I112" s="3"/>
      <c r="J112" s="3"/>
      <c r="K112" s="4"/>
    </row>
    <row r="113" spans="1:11" x14ac:dyDescent="0.25">
      <c r="A113" s="5" t="str">
        <f t="shared" si="3"/>
        <v/>
      </c>
      <c r="B113" s="3"/>
      <c r="C113" s="4"/>
      <c r="D113" s="4"/>
      <c r="E113" s="3"/>
      <c r="F113" s="3"/>
      <c r="G113" s="27"/>
      <c r="H113" s="28"/>
      <c r="I113" s="3"/>
      <c r="J113" s="3"/>
      <c r="K113" s="4"/>
    </row>
    <row r="114" spans="1:11" x14ac:dyDescent="0.25">
      <c r="A114" s="5" t="str">
        <f t="shared" si="3"/>
        <v/>
      </c>
      <c r="B114" s="3"/>
      <c r="C114" s="4"/>
      <c r="D114" s="4"/>
      <c r="E114" s="3"/>
      <c r="F114" s="3"/>
      <c r="G114" s="27"/>
      <c r="H114" s="28"/>
      <c r="I114" s="3"/>
      <c r="J114" s="3"/>
      <c r="K114" s="4"/>
    </row>
    <row r="115" spans="1:11" x14ac:dyDescent="0.25">
      <c r="A115" s="5" t="str">
        <f t="shared" si="3"/>
        <v/>
      </c>
      <c r="B115" s="3"/>
      <c r="C115" s="4"/>
      <c r="D115" s="4"/>
      <c r="E115" s="3"/>
      <c r="F115" s="3"/>
      <c r="G115" s="27"/>
      <c r="H115" s="28"/>
      <c r="I115" s="3"/>
      <c r="J115" s="3"/>
      <c r="K115" s="4"/>
    </row>
    <row r="116" spans="1:11" x14ac:dyDescent="0.25">
      <c r="A116" s="5" t="str">
        <f t="shared" si="3"/>
        <v/>
      </c>
      <c r="B116" s="3"/>
      <c r="C116" s="4"/>
      <c r="D116" s="4"/>
      <c r="E116" s="3"/>
      <c r="F116" s="3"/>
      <c r="G116" s="27"/>
      <c r="H116" s="28"/>
      <c r="I116" s="3"/>
      <c r="J116" s="3"/>
      <c r="K116" s="4"/>
    </row>
    <row r="117" spans="1:11" x14ac:dyDescent="0.25">
      <c r="A117" s="5" t="str">
        <f t="shared" si="3"/>
        <v/>
      </c>
      <c r="B117" s="3"/>
      <c r="C117" s="4"/>
      <c r="D117" s="4"/>
      <c r="E117" s="3"/>
      <c r="F117" s="3"/>
      <c r="G117" s="27"/>
      <c r="H117" s="28"/>
      <c r="I117" s="3"/>
      <c r="J117" s="3"/>
      <c r="K117" s="4"/>
    </row>
    <row r="118" spans="1:11" x14ac:dyDescent="0.25">
      <c r="A118" s="5" t="str">
        <f t="shared" si="3"/>
        <v/>
      </c>
      <c r="B118" s="3"/>
      <c r="C118" s="4"/>
      <c r="D118" s="4"/>
      <c r="E118" s="3"/>
      <c r="F118" s="3"/>
      <c r="G118" s="27"/>
      <c r="H118" s="28"/>
      <c r="I118" s="3"/>
      <c r="J118" s="3"/>
      <c r="K118" s="4"/>
    </row>
    <row r="119" spans="1:11" x14ac:dyDescent="0.25">
      <c r="A119" s="5" t="str">
        <f t="shared" si="3"/>
        <v/>
      </c>
      <c r="B119" s="3"/>
      <c r="C119" s="4"/>
      <c r="D119" s="4"/>
      <c r="E119" s="3"/>
      <c r="F119" s="3"/>
      <c r="G119" s="27"/>
      <c r="H119" s="28"/>
      <c r="I119" s="3"/>
      <c r="J119" s="3"/>
      <c r="K119" s="4"/>
    </row>
    <row r="120" spans="1:11" x14ac:dyDescent="0.25">
      <c r="A120" s="5" t="str">
        <f t="shared" si="3"/>
        <v/>
      </c>
      <c r="B120" s="3"/>
      <c r="C120" s="4"/>
      <c r="D120" s="4"/>
      <c r="E120" s="3"/>
      <c r="F120" s="3"/>
      <c r="G120" s="27"/>
      <c r="H120" s="28"/>
      <c r="I120" s="3"/>
      <c r="J120" s="3"/>
      <c r="K120" s="4"/>
    </row>
    <row r="121" spans="1:11" x14ac:dyDescent="0.25">
      <c r="A121" s="5" t="str">
        <f t="shared" si="3"/>
        <v/>
      </c>
      <c r="B121" s="3"/>
      <c r="C121" s="4"/>
      <c r="D121" s="4"/>
      <c r="E121" s="3"/>
      <c r="F121" s="3"/>
      <c r="G121" s="27"/>
      <c r="H121" s="28"/>
      <c r="I121" s="3"/>
      <c r="J121" s="3"/>
      <c r="K121" s="4"/>
    </row>
    <row r="122" spans="1:11" x14ac:dyDescent="0.25">
      <c r="A122" s="5" t="str">
        <f t="shared" si="3"/>
        <v/>
      </c>
      <c r="B122" s="3"/>
      <c r="C122" s="4"/>
      <c r="D122" s="4"/>
      <c r="E122" s="3"/>
      <c r="F122" s="3"/>
      <c r="G122" s="27"/>
      <c r="H122" s="28"/>
      <c r="I122" s="3"/>
      <c r="J122" s="3"/>
      <c r="K122" s="4"/>
    </row>
    <row r="123" spans="1:11" x14ac:dyDescent="0.25">
      <c r="A123" s="5" t="str">
        <f t="shared" si="3"/>
        <v/>
      </c>
      <c r="B123" s="3"/>
      <c r="C123" s="4"/>
      <c r="D123" s="4"/>
      <c r="E123" s="3"/>
      <c r="F123" s="3"/>
      <c r="G123" s="27"/>
      <c r="H123" s="28"/>
      <c r="I123" s="3"/>
      <c r="J123" s="3"/>
      <c r="K123" s="4"/>
    </row>
    <row r="124" spans="1:11" x14ac:dyDescent="0.25">
      <c r="A124" s="5" t="str">
        <f t="shared" si="3"/>
        <v/>
      </c>
      <c r="B124" s="3"/>
      <c r="C124" s="4"/>
      <c r="D124" s="4"/>
      <c r="E124" s="3"/>
      <c r="F124" s="3"/>
      <c r="G124" s="27"/>
      <c r="H124" s="28"/>
      <c r="I124" s="3"/>
      <c r="J124" s="3"/>
      <c r="K124" s="4"/>
    </row>
    <row r="125" spans="1:11" x14ac:dyDescent="0.25">
      <c r="A125" s="5" t="str">
        <f t="shared" si="3"/>
        <v/>
      </c>
      <c r="B125" s="3"/>
      <c r="C125" s="4"/>
      <c r="D125" s="4"/>
      <c r="E125" s="3"/>
      <c r="F125" s="3"/>
      <c r="G125" s="27"/>
      <c r="H125" s="28"/>
      <c r="I125" s="3"/>
      <c r="J125" s="3"/>
      <c r="K125" s="4"/>
    </row>
    <row r="126" spans="1:11" x14ac:dyDescent="0.25">
      <c r="A126" s="5" t="str">
        <f t="shared" si="3"/>
        <v/>
      </c>
      <c r="B126" s="3"/>
      <c r="C126" s="4"/>
      <c r="D126" s="4"/>
      <c r="E126" s="3"/>
      <c r="F126" s="3"/>
      <c r="G126" s="27"/>
      <c r="H126" s="28"/>
      <c r="I126" s="3"/>
      <c r="J126" s="3"/>
      <c r="K126" s="4"/>
    </row>
    <row r="127" spans="1:11" x14ac:dyDescent="0.25">
      <c r="A127" s="5" t="str">
        <f t="shared" si="3"/>
        <v/>
      </c>
      <c r="B127" s="3"/>
      <c r="C127" s="4"/>
      <c r="D127" s="4"/>
      <c r="E127" s="3"/>
      <c r="F127" s="3"/>
      <c r="G127" s="27"/>
      <c r="H127" s="28"/>
      <c r="I127" s="3"/>
      <c r="J127" s="3"/>
      <c r="K127" s="4"/>
    </row>
    <row r="128" spans="1:11" x14ac:dyDescent="0.25">
      <c r="A128" s="5" t="str">
        <f t="shared" si="3"/>
        <v/>
      </c>
      <c r="B128" s="3"/>
      <c r="C128" s="4"/>
      <c r="D128" s="4"/>
      <c r="E128" s="3"/>
      <c r="F128" s="3"/>
      <c r="G128" s="27"/>
      <c r="H128" s="28"/>
      <c r="I128" s="3"/>
      <c r="J128" s="3"/>
      <c r="K128" s="4"/>
    </row>
    <row r="129" spans="1:11" x14ac:dyDescent="0.25">
      <c r="A129" s="5" t="str">
        <f t="shared" si="3"/>
        <v/>
      </c>
      <c r="B129" s="3"/>
      <c r="C129" s="4"/>
      <c r="D129" s="4"/>
      <c r="E129" s="3"/>
      <c r="F129" s="3"/>
      <c r="G129" s="27"/>
      <c r="H129" s="28"/>
      <c r="I129" s="3"/>
      <c r="J129" s="3"/>
      <c r="K129" s="4"/>
    </row>
    <row r="130" spans="1:11" x14ac:dyDescent="0.25">
      <c r="A130" s="5" t="str">
        <f t="shared" si="3"/>
        <v/>
      </c>
      <c r="B130" s="3"/>
      <c r="C130" s="4"/>
      <c r="D130" s="4"/>
      <c r="E130" s="3"/>
      <c r="F130" s="3"/>
      <c r="G130" s="27"/>
      <c r="H130" s="28"/>
      <c r="I130" s="3"/>
      <c r="J130" s="3"/>
      <c r="K130" s="4"/>
    </row>
    <row r="131" spans="1:11" x14ac:dyDescent="0.25">
      <c r="A131" s="5" t="str">
        <f t="shared" si="3"/>
        <v/>
      </c>
      <c r="B131" s="3"/>
      <c r="C131" s="4"/>
      <c r="D131" s="4"/>
      <c r="E131" s="3"/>
      <c r="F131" s="3"/>
      <c r="G131" s="27"/>
      <c r="H131" s="28"/>
      <c r="I131" s="3"/>
      <c r="J131" s="3"/>
      <c r="K131" s="4"/>
    </row>
    <row r="132" spans="1:11" x14ac:dyDescent="0.25">
      <c r="A132" s="5" t="str">
        <f t="shared" si="3"/>
        <v/>
      </c>
      <c r="B132" s="3"/>
      <c r="C132" s="4"/>
      <c r="D132" s="4"/>
      <c r="E132" s="3"/>
      <c r="F132" s="3"/>
      <c r="G132" s="27"/>
      <c r="H132" s="28"/>
      <c r="I132" s="3"/>
      <c r="J132" s="3"/>
      <c r="K132" s="4"/>
    </row>
    <row r="133" spans="1:11" x14ac:dyDescent="0.25">
      <c r="A133" s="5" t="str">
        <f t="shared" si="3"/>
        <v/>
      </c>
      <c r="B133" s="3"/>
      <c r="C133" s="4"/>
      <c r="D133" s="4"/>
      <c r="E133" s="3"/>
      <c r="F133" s="3"/>
      <c r="G133" s="27"/>
      <c r="H133" s="28"/>
      <c r="I133" s="3"/>
      <c r="J133" s="3"/>
      <c r="K133" s="4"/>
    </row>
    <row r="134" spans="1:11" x14ac:dyDescent="0.25">
      <c r="A134" s="5" t="str">
        <f t="shared" ref="A134:A163" si="4">IF(B134="","",A133+1)</f>
        <v/>
      </c>
      <c r="B134" s="3"/>
      <c r="C134" s="4"/>
      <c r="D134" s="4"/>
      <c r="E134" s="3"/>
      <c r="F134" s="3"/>
      <c r="G134" s="27"/>
      <c r="H134" s="28"/>
      <c r="I134" s="3"/>
      <c r="J134" s="3"/>
      <c r="K134" s="4"/>
    </row>
    <row r="135" spans="1:11" x14ac:dyDescent="0.25">
      <c r="A135" s="5" t="str">
        <f t="shared" si="4"/>
        <v/>
      </c>
      <c r="B135" s="3"/>
      <c r="C135" s="4"/>
      <c r="D135" s="4"/>
      <c r="E135" s="3"/>
      <c r="F135" s="3"/>
      <c r="G135" s="27"/>
      <c r="H135" s="28"/>
      <c r="I135" s="3"/>
      <c r="J135" s="3"/>
      <c r="K135" s="4"/>
    </row>
    <row r="136" spans="1:11" x14ac:dyDescent="0.25">
      <c r="A136" s="5" t="str">
        <f t="shared" si="4"/>
        <v/>
      </c>
      <c r="B136" s="3"/>
      <c r="C136" s="4"/>
      <c r="D136" s="4"/>
      <c r="E136" s="3"/>
      <c r="F136" s="3"/>
      <c r="G136" s="27"/>
      <c r="H136" s="28"/>
      <c r="I136" s="3"/>
      <c r="J136" s="3"/>
      <c r="K136" s="4"/>
    </row>
    <row r="137" spans="1:11" x14ac:dyDescent="0.25">
      <c r="A137" s="5" t="str">
        <f t="shared" si="4"/>
        <v/>
      </c>
      <c r="B137" s="3"/>
      <c r="C137" s="4"/>
      <c r="D137" s="4"/>
      <c r="E137" s="3"/>
      <c r="F137" s="3"/>
      <c r="G137" s="27"/>
      <c r="H137" s="28"/>
      <c r="I137" s="3"/>
      <c r="J137" s="3"/>
      <c r="K137" s="4"/>
    </row>
    <row r="138" spans="1:11" x14ac:dyDescent="0.25">
      <c r="A138" s="5" t="str">
        <f t="shared" si="4"/>
        <v/>
      </c>
      <c r="B138" s="3"/>
      <c r="C138" s="4"/>
      <c r="D138" s="4"/>
      <c r="E138" s="3"/>
      <c r="F138" s="3"/>
      <c r="G138" s="27"/>
      <c r="H138" s="28"/>
      <c r="I138" s="3"/>
      <c r="J138" s="3"/>
      <c r="K138" s="4"/>
    </row>
    <row r="139" spans="1:11" x14ac:dyDescent="0.25">
      <c r="A139" s="5" t="str">
        <f t="shared" si="4"/>
        <v/>
      </c>
      <c r="B139" s="3"/>
      <c r="C139" s="4"/>
      <c r="D139" s="4"/>
      <c r="E139" s="3"/>
      <c r="F139" s="3"/>
      <c r="G139" s="27"/>
      <c r="H139" s="28"/>
      <c r="I139" s="3"/>
      <c r="J139" s="3"/>
      <c r="K139" s="4"/>
    </row>
    <row r="140" spans="1:11" x14ac:dyDescent="0.25">
      <c r="A140" s="5" t="str">
        <f t="shared" si="4"/>
        <v/>
      </c>
      <c r="B140" s="3"/>
      <c r="C140" s="4"/>
      <c r="D140" s="4"/>
      <c r="E140" s="3"/>
      <c r="F140" s="3"/>
      <c r="G140" s="27"/>
      <c r="H140" s="28"/>
      <c r="I140" s="3"/>
      <c r="J140" s="3"/>
      <c r="K140" s="4"/>
    </row>
    <row r="141" spans="1:11" x14ac:dyDescent="0.25">
      <c r="A141" s="5" t="str">
        <f t="shared" si="4"/>
        <v/>
      </c>
      <c r="B141" s="3"/>
      <c r="C141" s="4"/>
      <c r="D141" s="4"/>
      <c r="E141" s="3"/>
      <c r="F141" s="3"/>
      <c r="G141" s="27"/>
      <c r="H141" s="28"/>
      <c r="I141" s="3"/>
      <c r="J141" s="3"/>
      <c r="K141" s="4"/>
    </row>
    <row r="142" spans="1:11" x14ac:dyDescent="0.25">
      <c r="A142" s="5" t="str">
        <f t="shared" si="4"/>
        <v/>
      </c>
      <c r="B142" s="3"/>
      <c r="C142" s="4"/>
      <c r="D142" s="4"/>
      <c r="E142" s="3"/>
      <c r="F142" s="3"/>
      <c r="G142" s="27"/>
      <c r="H142" s="28"/>
      <c r="I142" s="3"/>
      <c r="J142" s="3"/>
      <c r="K142" s="4"/>
    </row>
    <row r="143" spans="1:11" x14ac:dyDescent="0.25">
      <c r="A143" s="5" t="str">
        <f t="shared" si="4"/>
        <v/>
      </c>
      <c r="B143" s="3"/>
      <c r="C143" s="4"/>
      <c r="D143" s="4"/>
      <c r="E143" s="3"/>
      <c r="F143" s="3"/>
      <c r="G143" s="27"/>
      <c r="H143" s="28"/>
      <c r="I143" s="3"/>
      <c r="J143" s="3"/>
      <c r="K143" s="4"/>
    </row>
    <row r="144" spans="1:11" x14ac:dyDescent="0.25">
      <c r="A144" s="5" t="str">
        <f t="shared" si="4"/>
        <v/>
      </c>
      <c r="B144" s="3"/>
      <c r="C144" s="4"/>
      <c r="D144" s="4"/>
      <c r="E144" s="3"/>
      <c r="F144" s="3"/>
      <c r="G144" s="27"/>
      <c r="H144" s="28"/>
      <c r="I144" s="3"/>
      <c r="J144" s="3"/>
      <c r="K144" s="4"/>
    </row>
    <row r="145" spans="1:11" x14ac:dyDescent="0.25">
      <c r="A145" s="5" t="str">
        <f t="shared" si="4"/>
        <v/>
      </c>
      <c r="B145" s="3"/>
      <c r="C145" s="4"/>
      <c r="D145" s="4"/>
      <c r="E145" s="3"/>
      <c r="F145" s="3"/>
      <c r="G145" s="27"/>
      <c r="H145" s="28"/>
      <c r="I145" s="3"/>
      <c r="J145" s="3"/>
      <c r="K145" s="4"/>
    </row>
    <row r="146" spans="1:11" x14ac:dyDescent="0.25">
      <c r="A146" s="5" t="str">
        <f t="shared" si="4"/>
        <v/>
      </c>
      <c r="B146" s="3"/>
      <c r="C146" s="4"/>
      <c r="D146" s="4"/>
      <c r="E146" s="3"/>
      <c r="F146" s="3"/>
      <c r="G146" s="27"/>
      <c r="H146" s="28"/>
      <c r="I146" s="3"/>
      <c r="J146" s="3"/>
      <c r="K146" s="4"/>
    </row>
    <row r="147" spans="1:11" x14ac:dyDescent="0.25">
      <c r="A147" s="5" t="str">
        <f t="shared" si="4"/>
        <v/>
      </c>
      <c r="B147" s="3"/>
      <c r="C147" s="4"/>
      <c r="D147" s="4"/>
      <c r="E147" s="3"/>
      <c r="F147" s="3"/>
      <c r="G147" s="27"/>
      <c r="H147" s="28"/>
      <c r="I147" s="3"/>
      <c r="J147" s="3"/>
      <c r="K147" s="4"/>
    </row>
    <row r="148" spans="1:11" x14ac:dyDescent="0.25">
      <c r="A148" s="5" t="str">
        <f t="shared" si="4"/>
        <v/>
      </c>
      <c r="B148" s="3"/>
      <c r="C148" s="4"/>
      <c r="D148" s="4"/>
      <c r="E148" s="3"/>
      <c r="F148" s="3"/>
      <c r="G148" s="27"/>
      <c r="H148" s="28"/>
      <c r="I148" s="3"/>
      <c r="J148" s="3"/>
      <c r="K148" s="4"/>
    </row>
    <row r="149" spans="1:11" x14ac:dyDescent="0.25">
      <c r="A149" s="5" t="str">
        <f t="shared" si="4"/>
        <v/>
      </c>
      <c r="B149" s="3"/>
      <c r="C149" s="4"/>
      <c r="D149" s="4"/>
      <c r="E149" s="3"/>
      <c r="F149" s="3"/>
      <c r="G149" s="27"/>
      <c r="H149" s="28"/>
      <c r="I149" s="3"/>
      <c r="J149" s="3"/>
      <c r="K149" s="4"/>
    </row>
    <row r="150" spans="1:11" x14ac:dyDescent="0.25">
      <c r="A150" s="5" t="str">
        <f t="shared" si="4"/>
        <v/>
      </c>
      <c r="B150" s="3"/>
      <c r="C150" s="4"/>
      <c r="D150" s="4"/>
      <c r="E150" s="3"/>
      <c r="F150" s="3"/>
      <c r="G150" s="27"/>
      <c r="H150" s="28"/>
      <c r="I150" s="3"/>
      <c r="J150" s="3"/>
      <c r="K150" s="4"/>
    </row>
    <row r="151" spans="1:11" x14ac:dyDescent="0.25">
      <c r="A151" s="5" t="str">
        <f t="shared" si="4"/>
        <v/>
      </c>
      <c r="B151" s="3"/>
      <c r="C151" s="4"/>
      <c r="D151" s="4"/>
      <c r="E151" s="3"/>
      <c r="F151" s="3"/>
      <c r="G151" s="27"/>
      <c r="H151" s="28"/>
      <c r="I151" s="3"/>
      <c r="J151" s="3"/>
      <c r="K151" s="4"/>
    </row>
    <row r="152" spans="1:11" x14ac:dyDescent="0.25">
      <c r="A152" s="5" t="str">
        <f t="shared" si="4"/>
        <v/>
      </c>
      <c r="B152" s="3"/>
      <c r="C152" s="4"/>
      <c r="D152" s="4"/>
      <c r="E152" s="3"/>
      <c r="F152" s="3"/>
      <c r="G152" s="27"/>
      <c r="H152" s="28"/>
      <c r="I152" s="3"/>
      <c r="J152" s="3"/>
      <c r="K152" s="4"/>
    </row>
    <row r="153" spans="1:11" x14ac:dyDescent="0.25">
      <c r="A153" s="5" t="str">
        <f t="shared" si="4"/>
        <v/>
      </c>
      <c r="B153" s="3"/>
      <c r="C153" s="4"/>
      <c r="D153" s="4"/>
      <c r="E153" s="3"/>
      <c r="F153" s="3"/>
      <c r="G153" s="27"/>
      <c r="H153" s="28"/>
      <c r="I153" s="3"/>
      <c r="J153" s="3"/>
      <c r="K153" s="4"/>
    </row>
    <row r="154" spans="1:11" x14ac:dyDescent="0.25">
      <c r="A154" s="5" t="str">
        <f t="shared" si="4"/>
        <v/>
      </c>
      <c r="B154" s="3"/>
      <c r="C154" s="4"/>
      <c r="D154" s="4"/>
      <c r="E154" s="3"/>
      <c r="F154" s="3"/>
      <c r="G154" s="27"/>
      <c r="H154" s="28"/>
      <c r="I154" s="3"/>
      <c r="J154" s="3"/>
      <c r="K154" s="4"/>
    </row>
    <row r="155" spans="1:11" x14ac:dyDescent="0.25">
      <c r="A155" s="5" t="str">
        <f t="shared" si="4"/>
        <v/>
      </c>
      <c r="B155" s="3"/>
      <c r="C155" s="4"/>
      <c r="D155" s="4"/>
      <c r="E155" s="3"/>
      <c r="F155" s="3"/>
      <c r="G155" s="27"/>
      <c r="H155" s="28"/>
      <c r="I155" s="3"/>
      <c r="J155" s="3"/>
      <c r="K155" s="4"/>
    </row>
    <row r="156" spans="1:11" x14ac:dyDescent="0.25">
      <c r="A156" s="5" t="str">
        <f t="shared" si="4"/>
        <v/>
      </c>
      <c r="B156" s="3"/>
      <c r="C156" s="4"/>
      <c r="D156" s="4"/>
      <c r="E156" s="3"/>
      <c r="F156" s="3"/>
      <c r="G156" s="27"/>
      <c r="H156" s="28"/>
      <c r="I156" s="3"/>
      <c r="J156" s="3"/>
      <c r="K156" s="4"/>
    </row>
    <row r="157" spans="1:11" x14ac:dyDescent="0.25">
      <c r="A157" s="5" t="str">
        <f t="shared" si="4"/>
        <v/>
      </c>
      <c r="B157" s="3"/>
      <c r="C157" s="4"/>
      <c r="D157" s="4"/>
      <c r="E157" s="3"/>
      <c r="F157" s="3"/>
      <c r="G157" s="27"/>
      <c r="H157" s="28"/>
      <c r="I157" s="3"/>
      <c r="J157" s="3"/>
      <c r="K157" s="4"/>
    </row>
    <row r="158" spans="1:11" x14ac:dyDescent="0.25">
      <c r="A158" s="5" t="str">
        <f t="shared" si="4"/>
        <v/>
      </c>
      <c r="B158" s="3"/>
      <c r="C158" s="4"/>
      <c r="D158" s="4"/>
      <c r="E158" s="3"/>
      <c r="F158" s="3"/>
      <c r="G158" s="27"/>
      <c r="H158" s="28"/>
      <c r="I158" s="3"/>
      <c r="J158" s="3"/>
      <c r="K158" s="4"/>
    </row>
    <row r="159" spans="1:11" x14ac:dyDescent="0.25">
      <c r="A159" s="5" t="str">
        <f t="shared" si="4"/>
        <v/>
      </c>
      <c r="B159" s="3"/>
      <c r="C159" s="4"/>
      <c r="D159" s="4"/>
      <c r="E159" s="3"/>
      <c r="F159" s="3"/>
      <c r="G159" s="27"/>
      <c r="H159" s="28"/>
      <c r="I159" s="3"/>
      <c r="J159" s="3"/>
      <c r="K159" s="4"/>
    </row>
    <row r="160" spans="1:11" x14ac:dyDescent="0.25">
      <c r="A160" s="5" t="str">
        <f t="shared" si="4"/>
        <v/>
      </c>
      <c r="B160" s="3"/>
      <c r="C160" s="4"/>
      <c r="D160" s="4"/>
      <c r="E160" s="3"/>
      <c r="F160" s="3"/>
      <c r="G160" s="27"/>
      <c r="H160" s="28"/>
      <c r="I160" s="3"/>
      <c r="J160" s="3"/>
      <c r="K160" s="4"/>
    </row>
    <row r="161" spans="1:11" x14ac:dyDescent="0.25">
      <c r="A161" s="5" t="str">
        <f t="shared" si="4"/>
        <v/>
      </c>
      <c r="B161" s="3"/>
      <c r="C161" s="4"/>
      <c r="D161" s="4"/>
      <c r="E161" s="3"/>
      <c r="F161" s="3"/>
      <c r="G161" s="27"/>
      <c r="H161" s="28"/>
      <c r="I161" s="3"/>
      <c r="J161" s="3"/>
      <c r="K161" s="4"/>
    </row>
    <row r="162" spans="1:11" x14ac:dyDescent="0.25">
      <c r="A162" s="5" t="str">
        <f t="shared" si="4"/>
        <v/>
      </c>
      <c r="B162" s="3"/>
      <c r="C162" s="4"/>
      <c r="D162" s="4"/>
      <c r="E162" s="3"/>
      <c r="F162" s="3"/>
      <c r="G162" s="27"/>
      <c r="H162" s="28"/>
      <c r="I162" s="3"/>
      <c r="J162" s="3"/>
      <c r="K162" s="4"/>
    </row>
    <row r="163" spans="1:11" x14ac:dyDescent="0.25">
      <c r="A163" s="5" t="str">
        <f t="shared" si="4"/>
        <v/>
      </c>
      <c r="B163" s="3"/>
      <c r="C163" s="4"/>
      <c r="D163" s="4"/>
      <c r="E163" s="3"/>
      <c r="F163" s="3"/>
      <c r="G163" s="27"/>
      <c r="H163" s="28"/>
      <c r="I163" s="3"/>
      <c r="J163" s="3"/>
      <c r="K163" s="4"/>
    </row>
    <row r="164" spans="1:11" x14ac:dyDescent="0.25">
      <c r="A164" s="5" t="str">
        <f>IF(B164="","",1)</f>
        <v/>
      </c>
      <c r="B164" s="3"/>
      <c r="C164" s="4"/>
      <c r="D164" s="4"/>
      <c r="E164" s="3"/>
      <c r="F164" s="3"/>
      <c r="G164" s="27"/>
      <c r="H164" s="28"/>
      <c r="I164" s="3"/>
      <c r="J164" s="3"/>
      <c r="K164" s="4"/>
    </row>
    <row r="165" spans="1:11" x14ac:dyDescent="0.25">
      <c r="A165" s="5" t="str">
        <f t="shared" ref="A165:A197" si="5">IF(B165="","",A164+1)</f>
        <v/>
      </c>
      <c r="B165" s="3"/>
      <c r="C165" s="4"/>
      <c r="D165" s="4"/>
      <c r="E165" s="3"/>
      <c r="F165" s="3"/>
      <c r="G165" s="27"/>
      <c r="H165" s="28"/>
      <c r="I165" s="3"/>
      <c r="J165" s="3"/>
      <c r="K165" s="4"/>
    </row>
    <row r="166" spans="1:11" x14ac:dyDescent="0.25">
      <c r="A166" s="5" t="str">
        <f t="shared" si="5"/>
        <v/>
      </c>
      <c r="B166" s="3"/>
      <c r="C166" s="4"/>
      <c r="D166" s="4"/>
      <c r="E166" s="3"/>
      <c r="F166" s="3"/>
      <c r="G166" s="27"/>
      <c r="H166" s="28"/>
      <c r="I166" s="3"/>
      <c r="J166" s="3"/>
      <c r="K166" s="4"/>
    </row>
    <row r="167" spans="1:11" x14ac:dyDescent="0.25">
      <c r="A167" s="5" t="str">
        <f t="shared" si="5"/>
        <v/>
      </c>
      <c r="B167" s="3"/>
      <c r="C167" s="4"/>
      <c r="D167" s="4"/>
      <c r="E167" s="3"/>
      <c r="F167" s="3"/>
      <c r="G167" s="27"/>
      <c r="H167" s="28"/>
      <c r="I167" s="3"/>
      <c r="J167" s="3"/>
      <c r="K167" s="4"/>
    </row>
    <row r="168" spans="1:11" x14ac:dyDescent="0.25">
      <c r="A168" s="5" t="str">
        <f t="shared" si="5"/>
        <v/>
      </c>
      <c r="B168" s="3"/>
      <c r="C168" s="4"/>
      <c r="D168" s="4"/>
      <c r="E168" s="3"/>
      <c r="F168" s="3"/>
      <c r="G168" s="27"/>
      <c r="H168" s="28"/>
      <c r="I168" s="3"/>
      <c r="J168" s="3"/>
      <c r="K168" s="4"/>
    </row>
    <row r="169" spans="1:11" x14ac:dyDescent="0.25">
      <c r="A169" s="5" t="str">
        <f t="shared" si="5"/>
        <v/>
      </c>
      <c r="B169" s="3"/>
      <c r="C169" s="4"/>
      <c r="D169" s="4"/>
      <c r="E169" s="3"/>
      <c r="F169" s="3"/>
      <c r="G169" s="27"/>
      <c r="H169" s="28"/>
      <c r="I169" s="3"/>
      <c r="J169" s="3"/>
      <c r="K169" s="4"/>
    </row>
    <row r="170" spans="1:11" x14ac:dyDescent="0.25">
      <c r="A170" s="5" t="str">
        <f t="shared" si="5"/>
        <v/>
      </c>
      <c r="B170" s="3"/>
      <c r="C170" s="4"/>
      <c r="D170" s="4"/>
      <c r="E170" s="3"/>
      <c r="F170" s="3"/>
      <c r="G170" s="27"/>
      <c r="H170" s="28"/>
      <c r="I170" s="3"/>
      <c r="J170" s="3"/>
      <c r="K170" s="4"/>
    </row>
    <row r="171" spans="1:11" x14ac:dyDescent="0.25">
      <c r="A171" s="5" t="str">
        <f t="shared" si="5"/>
        <v/>
      </c>
      <c r="B171" s="3"/>
      <c r="C171" s="4"/>
      <c r="D171" s="4"/>
      <c r="E171" s="3"/>
      <c r="F171" s="3"/>
      <c r="G171" s="27"/>
      <c r="H171" s="28"/>
      <c r="I171" s="3"/>
      <c r="J171" s="3"/>
      <c r="K171" s="4"/>
    </row>
    <row r="172" spans="1:11" x14ac:dyDescent="0.25">
      <c r="A172" s="5" t="str">
        <f t="shared" si="5"/>
        <v/>
      </c>
      <c r="B172" s="3"/>
      <c r="C172" s="4"/>
      <c r="D172" s="4"/>
      <c r="E172" s="3"/>
      <c r="F172" s="3"/>
      <c r="G172" s="27"/>
      <c r="H172" s="28"/>
      <c r="I172" s="3"/>
      <c r="J172" s="3"/>
      <c r="K172" s="4"/>
    </row>
    <row r="173" spans="1:11" x14ac:dyDescent="0.25">
      <c r="A173" s="5" t="str">
        <f t="shared" si="5"/>
        <v/>
      </c>
      <c r="B173" s="3"/>
      <c r="C173" s="4"/>
      <c r="D173" s="4"/>
      <c r="E173" s="3"/>
      <c r="F173" s="3"/>
      <c r="G173" s="27"/>
      <c r="H173" s="28"/>
      <c r="I173" s="3"/>
      <c r="J173" s="3"/>
      <c r="K173" s="4"/>
    </row>
    <row r="174" spans="1:11" x14ac:dyDescent="0.25">
      <c r="A174" s="5" t="str">
        <f t="shared" si="5"/>
        <v/>
      </c>
      <c r="B174" s="3"/>
      <c r="C174" s="4"/>
      <c r="D174" s="4"/>
      <c r="E174" s="3"/>
      <c r="F174" s="3"/>
      <c r="G174" s="27"/>
      <c r="H174" s="28"/>
      <c r="I174" s="3"/>
      <c r="J174" s="3"/>
      <c r="K174" s="4"/>
    </row>
    <row r="175" spans="1:11" x14ac:dyDescent="0.25">
      <c r="A175" s="5" t="str">
        <f t="shared" si="5"/>
        <v/>
      </c>
      <c r="B175" s="3"/>
      <c r="C175" s="4"/>
      <c r="D175" s="4"/>
      <c r="E175" s="3"/>
      <c r="F175" s="3"/>
      <c r="G175" s="27"/>
      <c r="H175" s="28"/>
      <c r="I175" s="3"/>
      <c r="J175" s="3"/>
      <c r="K175" s="4"/>
    </row>
    <row r="176" spans="1:11" x14ac:dyDescent="0.25">
      <c r="A176" s="5" t="str">
        <f t="shared" si="5"/>
        <v/>
      </c>
      <c r="B176" s="3"/>
      <c r="C176" s="4"/>
      <c r="D176" s="4"/>
      <c r="E176" s="3"/>
      <c r="F176" s="3"/>
      <c r="G176" s="27"/>
      <c r="H176" s="28"/>
      <c r="I176" s="3"/>
      <c r="J176" s="3"/>
      <c r="K176" s="4"/>
    </row>
    <row r="177" spans="1:11" x14ac:dyDescent="0.25">
      <c r="A177" s="5" t="str">
        <f t="shared" si="5"/>
        <v/>
      </c>
      <c r="B177" s="3"/>
      <c r="C177" s="4"/>
      <c r="D177" s="4"/>
      <c r="E177" s="3"/>
      <c r="F177" s="3"/>
      <c r="G177" s="27"/>
      <c r="H177" s="28"/>
      <c r="I177" s="3"/>
      <c r="J177" s="3"/>
      <c r="K177" s="4"/>
    </row>
    <row r="178" spans="1:11" x14ac:dyDescent="0.25">
      <c r="A178" s="5" t="str">
        <f t="shared" si="5"/>
        <v/>
      </c>
      <c r="B178" s="3"/>
      <c r="C178" s="4"/>
      <c r="D178" s="4"/>
      <c r="E178" s="3"/>
      <c r="F178" s="3"/>
      <c r="G178" s="27"/>
      <c r="H178" s="28"/>
      <c r="I178" s="3"/>
      <c r="J178" s="3"/>
      <c r="K178" s="4"/>
    </row>
    <row r="179" spans="1:11" x14ac:dyDescent="0.25">
      <c r="A179" s="5" t="str">
        <f t="shared" si="5"/>
        <v/>
      </c>
      <c r="B179" s="3"/>
      <c r="C179" s="4"/>
      <c r="D179" s="4"/>
      <c r="E179" s="3"/>
      <c r="F179" s="3"/>
      <c r="G179" s="27"/>
      <c r="H179" s="28"/>
      <c r="I179" s="3"/>
      <c r="J179" s="3"/>
      <c r="K179" s="4"/>
    </row>
    <row r="180" spans="1:11" x14ac:dyDescent="0.25">
      <c r="A180" s="5" t="str">
        <f t="shared" si="5"/>
        <v/>
      </c>
      <c r="B180" s="3"/>
      <c r="C180" s="4"/>
      <c r="D180" s="4"/>
      <c r="E180" s="3"/>
      <c r="F180" s="3"/>
      <c r="G180" s="27"/>
      <c r="H180" s="28"/>
      <c r="I180" s="3"/>
      <c r="J180" s="3"/>
      <c r="K180" s="4"/>
    </row>
    <row r="181" spans="1:11" x14ac:dyDescent="0.25">
      <c r="A181" s="5" t="str">
        <f t="shared" si="5"/>
        <v/>
      </c>
      <c r="B181" s="3"/>
      <c r="C181" s="4"/>
      <c r="D181" s="4"/>
      <c r="E181" s="3"/>
      <c r="F181" s="3"/>
      <c r="G181" s="27"/>
      <c r="H181" s="28"/>
      <c r="I181" s="3"/>
      <c r="J181" s="3"/>
      <c r="K181" s="4"/>
    </row>
    <row r="182" spans="1:11" x14ac:dyDescent="0.25">
      <c r="A182" s="5" t="str">
        <f t="shared" si="5"/>
        <v/>
      </c>
      <c r="B182" s="3"/>
      <c r="C182" s="4"/>
      <c r="D182" s="4"/>
      <c r="E182" s="3"/>
      <c r="F182" s="3"/>
      <c r="G182" s="27"/>
      <c r="H182" s="28"/>
      <c r="I182" s="3"/>
      <c r="J182" s="3"/>
      <c r="K182" s="4"/>
    </row>
    <row r="183" spans="1:11" x14ac:dyDescent="0.25">
      <c r="A183" s="5" t="str">
        <f t="shared" si="5"/>
        <v/>
      </c>
      <c r="B183" s="3"/>
      <c r="C183" s="4"/>
      <c r="D183" s="4"/>
      <c r="E183" s="3"/>
      <c r="F183" s="3"/>
      <c r="G183" s="27"/>
      <c r="H183" s="28"/>
      <c r="I183" s="3"/>
      <c r="J183" s="3"/>
      <c r="K183" s="4"/>
    </row>
    <row r="184" spans="1:11" x14ac:dyDescent="0.25">
      <c r="A184" s="5" t="str">
        <f t="shared" si="5"/>
        <v/>
      </c>
      <c r="B184" s="3"/>
      <c r="C184" s="4"/>
      <c r="D184" s="4"/>
      <c r="E184" s="3"/>
      <c r="F184" s="3"/>
      <c r="G184" s="27"/>
      <c r="H184" s="28"/>
      <c r="I184" s="3"/>
      <c r="J184" s="3"/>
      <c r="K184" s="4"/>
    </row>
    <row r="185" spans="1:11" x14ac:dyDescent="0.25">
      <c r="A185" s="5" t="str">
        <f t="shared" si="5"/>
        <v/>
      </c>
      <c r="B185" s="3"/>
      <c r="C185" s="4"/>
      <c r="D185" s="4"/>
      <c r="E185" s="3"/>
      <c r="F185" s="3"/>
      <c r="G185" s="27"/>
      <c r="H185" s="28"/>
      <c r="I185" s="3"/>
      <c r="J185" s="3"/>
      <c r="K185" s="4"/>
    </row>
    <row r="186" spans="1:11" x14ac:dyDescent="0.25">
      <c r="A186" s="5" t="str">
        <f t="shared" si="5"/>
        <v/>
      </c>
      <c r="B186" s="3"/>
      <c r="C186" s="4"/>
      <c r="D186" s="4"/>
      <c r="E186" s="3"/>
      <c r="F186" s="3"/>
      <c r="G186" s="27"/>
      <c r="H186" s="28"/>
      <c r="I186" s="3"/>
      <c r="J186" s="3"/>
      <c r="K186" s="4"/>
    </row>
    <row r="187" spans="1:11" x14ac:dyDescent="0.25">
      <c r="A187" s="5" t="str">
        <f t="shared" si="5"/>
        <v/>
      </c>
      <c r="B187" s="3"/>
      <c r="C187" s="4"/>
      <c r="D187" s="4"/>
      <c r="E187" s="3"/>
      <c r="F187" s="3"/>
      <c r="G187" s="27"/>
      <c r="H187" s="28"/>
      <c r="I187" s="3"/>
      <c r="J187" s="3"/>
      <c r="K187" s="4"/>
    </row>
    <row r="188" spans="1:11" x14ac:dyDescent="0.25">
      <c r="A188" s="5" t="str">
        <f t="shared" si="5"/>
        <v/>
      </c>
      <c r="B188" s="3"/>
      <c r="C188" s="4"/>
      <c r="D188" s="4"/>
      <c r="E188" s="3"/>
      <c r="F188" s="3"/>
      <c r="G188" s="27"/>
      <c r="H188" s="28"/>
      <c r="I188" s="3"/>
      <c r="J188" s="3"/>
      <c r="K188" s="4"/>
    </row>
    <row r="189" spans="1:11" x14ac:dyDescent="0.25">
      <c r="A189" s="5" t="str">
        <f t="shared" si="5"/>
        <v/>
      </c>
      <c r="B189" s="3"/>
      <c r="C189" s="4"/>
      <c r="D189" s="4"/>
      <c r="E189" s="3"/>
      <c r="F189" s="3"/>
      <c r="G189" s="27"/>
      <c r="H189" s="28"/>
      <c r="I189" s="3"/>
      <c r="J189" s="3"/>
      <c r="K189" s="4"/>
    </row>
    <row r="190" spans="1:11" x14ac:dyDescent="0.25">
      <c r="A190" s="5" t="str">
        <f t="shared" si="5"/>
        <v/>
      </c>
      <c r="B190" s="3"/>
      <c r="C190" s="4"/>
      <c r="D190" s="4"/>
      <c r="E190" s="3"/>
      <c r="F190" s="3"/>
      <c r="G190" s="27"/>
      <c r="H190" s="28"/>
      <c r="I190" s="3"/>
      <c r="J190" s="3"/>
      <c r="K190" s="4"/>
    </row>
    <row r="191" spans="1:11" x14ac:dyDescent="0.25">
      <c r="A191" s="5" t="str">
        <f t="shared" si="5"/>
        <v/>
      </c>
      <c r="B191" s="3"/>
      <c r="C191" s="4"/>
      <c r="D191" s="4"/>
      <c r="E191" s="3"/>
      <c r="F191" s="3"/>
      <c r="G191" s="27"/>
      <c r="H191" s="28"/>
      <c r="I191" s="3"/>
      <c r="J191" s="3"/>
      <c r="K191" s="4"/>
    </row>
    <row r="192" spans="1:11" x14ac:dyDescent="0.25">
      <c r="A192" s="5" t="str">
        <f t="shared" si="5"/>
        <v/>
      </c>
      <c r="B192" s="3"/>
      <c r="C192" s="4"/>
      <c r="D192" s="4"/>
      <c r="E192" s="3"/>
      <c r="F192" s="3"/>
      <c r="G192" s="27"/>
      <c r="H192" s="28"/>
      <c r="I192" s="3"/>
      <c r="J192" s="3"/>
      <c r="K192" s="4"/>
    </row>
    <row r="193" spans="1:11" x14ac:dyDescent="0.25">
      <c r="A193" s="5" t="str">
        <f t="shared" si="5"/>
        <v/>
      </c>
      <c r="B193" s="3"/>
      <c r="C193" s="4"/>
      <c r="D193" s="4"/>
      <c r="E193" s="3"/>
      <c r="F193" s="3"/>
      <c r="G193" s="27"/>
      <c r="H193" s="28"/>
      <c r="I193" s="3"/>
      <c r="J193" s="3"/>
      <c r="K193" s="4"/>
    </row>
    <row r="194" spans="1:11" x14ac:dyDescent="0.25">
      <c r="A194" s="5" t="str">
        <f t="shared" si="5"/>
        <v/>
      </c>
      <c r="B194" s="3"/>
      <c r="C194" s="4"/>
      <c r="D194" s="4"/>
      <c r="E194" s="3"/>
      <c r="F194" s="3"/>
      <c r="G194" s="27"/>
      <c r="H194" s="28"/>
      <c r="I194" s="3"/>
      <c r="J194" s="3"/>
      <c r="K194" s="4"/>
    </row>
    <row r="195" spans="1:11" x14ac:dyDescent="0.25">
      <c r="A195" s="5" t="str">
        <f t="shared" si="5"/>
        <v/>
      </c>
      <c r="B195" s="3"/>
      <c r="C195" s="4"/>
      <c r="D195" s="4"/>
      <c r="E195" s="3"/>
      <c r="F195" s="3"/>
      <c r="G195" s="27"/>
      <c r="H195" s="28"/>
      <c r="I195" s="3"/>
      <c r="J195" s="3"/>
      <c r="K195" s="4"/>
    </row>
    <row r="196" spans="1:11" x14ac:dyDescent="0.25">
      <c r="A196" s="5" t="str">
        <f t="shared" si="5"/>
        <v/>
      </c>
      <c r="B196" s="3"/>
      <c r="C196" s="4"/>
      <c r="D196" s="4"/>
      <c r="E196" s="3"/>
      <c r="F196" s="3"/>
      <c r="G196" s="27"/>
      <c r="H196" s="28"/>
      <c r="I196" s="3"/>
      <c r="J196" s="3"/>
      <c r="K196" s="4"/>
    </row>
    <row r="197" spans="1:11" x14ac:dyDescent="0.25">
      <c r="A197" s="5" t="str">
        <f t="shared" si="5"/>
        <v/>
      </c>
      <c r="B197" s="3"/>
      <c r="C197" s="4"/>
      <c r="D197" s="4"/>
      <c r="E197" s="3"/>
      <c r="F197" s="3"/>
      <c r="G197" s="27"/>
      <c r="H197" s="28"/>
      <c r="I197" s="3"/>
      <c r="J197" s="3"/>
      <c r="K197" s="4"/>
    </row>
    <row r="198" spans="1:11" x14ac:dyDescent="0.25">
      <c r="H198" s="11"/>
    </row>
  </sheetData>
  <sortState ref="B5:K198">
    <sortCondition ref="B4"/>
  </sortState>
  <phoneticPr fontId="5" type="noConversion"/>
  <pageMargins left="0.7" right="0.7" top="0.75" bottom="0.75" header="0.3" footer="0.3"/>
  <pageSetup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J3"/>
  <sheetViews>
    <sheetView showGridLines="0" workbookViewId="0">
      <selection activeCell="A2" sqref="A2:J4"/>
    </sheetView>
  </sheetViews>
  <sheetFormatPr defaultRowHeight="15" x14ac:dyDescent="0.25"/>
  <cols>
    <col min="1" max="1" width="23.7109375" bestFit="1" customWidth="1"/>
    <col min="2" max="3" width="17.28515625" bestFit="1" customWidth="1"/>
    <col min="4" max="4" width="12.85546875" bestFit="1" customWidth="1"/>
    <col min="5" max="5" width="16.85546875" bestFit="1" customWidth="1"/>
    <col min="6" max="6" width="9.5703125" bestFit="1" customWidth="1"/>
    <col min="7" max="7" width="12.28515625" bestFit="1" customWidth="1"/>
    <col min="8" max="8" width="22.42578125" bestFit="1" customWidth="1"/>
    <col min="9" max="9" width="20.42578125" bestFit="1" customWidth="1"/>
    <col min="10" max="10" width="16.140625" bestFit="1" customWidth="1"/>
  </cols>
  <sheetData>
    <row r="1" spans="1:10" ht="15.75" thickBot="1" x14ac:dyDescent="0.3">
      <c r="A1" s="7" t="s">
        <v>7</v>
      </c>
      <c r="B1" s="8" t="s">
        <v>5</v>
      </c>
      <c r="C1" s="8" t="s">
        <v>6</v>
      </c>
      <c r="D1" s="7" t="s">
        <v>1</v>
      </c>
      <c r="E1" s="7" t="s">
        <v>2</v>
      </c>
      <c r="F1" s="26" t="s">
        <v>8</v>
      </c>
      <c r="G1" s="12" t="s">
        <v>3</v>
      </c>
      <c r="H1" s="7" t="s">
        <v>4</v>
      </c>
      <c r="I1" s="7" t="s">
        <v>12</v>
      </c>
      <c r="J1" s="8" t="s">
        <v>9</v>
      </c>
    </row>
    <row r="2" spans="1:10" x14ac:dyDescent="0.25">
      <c r="A2" s="3" t="s">
        <v>18</v>
      </c>
      <c r="B2" s="4" t="s">
        <v>25</v>
      </c>
      <c r="C2" s="4" t="s">
        <v>19</v>
      </c>
      <c r="D2" s="3" t="s">
        <v>20</v>
      </c>
      <c r="E2" s="3" t="s">
        <v>21</v>
      </c>
      <c r="F2" s="27">
        <v>2343</v>
      </c>
      <c r="G2" s="28">
        <v>36193</v>
      </c>
      <c r="H2" s="3" t="s">
        <v>22</v>
      </c>
      <c r="I2" s="3" t="s">
        <v>23</v>
      </c>
      <c r="J2" s="4" t="s">
        <v>24</v>
      </c>
    </row>
    <row r="3" spans="1:10" x14ac:dyDescent="0.25">
      <c r="A3" s="3" t="s">
        <v>26</v>
      </c>
      <c r="B3" s="4" t="s">
        <v>27</v>
      </c>
      <c r="C3" s="4" t="s">
        <v>28</v>
      </c>
      <c r="D3" s="3" t="s">
        <v>20</v>
      </c>
      <c r="E3" s="3" t="s">
        <v>21</v>
      </c>
      <c r="F3" s="27" t="s">
        <v>29</v>
      </c>
      <c r="G3" s="28">
        <v>36193</v>
      </c>
      <c r="H3" s="3" t="s">
        <v>30</v>
      </c>
      <c r="I3" s="3" t="s">
        <v>31</v>
      </c>
      <c r="J3" s="4" t="s">
        <v>32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2:I500"/>
  <sheetViews>
    <sheetView showGridLines="0" workbookViewId="0">
      <selection activeCell="I2" sqref="I2"/>
    </sheetView>
  </sheetViews>
  <sheetFormatPr defaultRowHeight="15" x14ac:dyDescent="0.25"/>
  <cols>
    <col min="1" max="1" width="4.42578125" style="5" customWidth="1"/>
    <col min="2" max="2" width="13.42578125" bestFit="1" customWidth="1"/>
    <col min="3" max="4" width="17.28515625" bestFit="1" customWidth="1"/>
    <col min="5" max="5" width="16.28515625" customWidth="1"/>
    <col min="6" max="6" width="18.140625" customWidth="1"/>
    <col min="7" max="7" width="16.85546875" bestFit="1" customWidth="1"/>
    <col min="8" max="8" width="10.7109375" customWidth="1"/>
    <col min="9" max="9" width="24.7109375" customWidth="1"/>
  </cols>
  <sheetData>
    <row r="2" spans="1:9" x14ac:dyDescent="0.25">
      <c r="I2" s="10" t="str">
        <f>COUNTA($B$5:$B$6000)&amp;" Jiwa"</f>
        <v>0 Jiwa</v>
      </c>
    </row>
    <row r="4" spans="1:9" ht="15.75" thickBot="1" x14ac:dyDescent="0.3">
      <c r="A4" s="6" t="s">
        <v>0</v>
      </c>
      <c r="B4" s="7" t="s">
        <v>7</v>
      </c>
      <c r="C4" s="8" t="s">
        <v>5</v>
      </c>
      <c r="D4" s="8" t="s">
        <v>6</v>
      </c>
      <c r="E4" s="7" t="s">
        <v>1</v>
      </c>
      <c r="F4" s="17" t="s">
        <v>3</v>
      </c>
      <c r="G4" s="17" t="s">
        <v>13</v>
      </c>
      <c r="H4" s="17" t="s">
        <v>10</v>
      </c>
      <c r="I4" s="17" t="s">
        <v>14</v>
      </c>
    </row>
    <row r="5" spans="1:9" x14ac:dyDescent="0.25">
      <c r="A5" s="5" t="str">
        <f>IF(B5="","",1)</f>
        <v/>
      </c>
      <c r="B5" s="3"/>
      <c r="C5" s="4"/>
      <c r="D5" s="4"/>
      <c r="E5" s="3"/>
      <c r="F5" s="16"/>
      <c r="G5" s="18"/>
    </row>
    <row r="6" spans="1:9" x14ac:dyDescent="0.25">
      <c r="A6" s="5" t="str">
        <f>IF(B6="","",A5+1)</f>
        <v/>
      </c>
      <c r="C6" s="1"/>
      <c r="D6" s="1"/>
      <c r="F6" s="18"/>
      <c r="G6" s="18"/>
    </row>
    <row r="7" spans="1:9" x14ac:dyDescent="0.25">
      <c r="A7" s="5" t="str">
        <f t="shared" ref="A7:A70" si="0">IF(B7="","",A6+1)</f>
        <v/>
      </c>
      <c r="C7" s="1"/>
      <c r="D7" s="1"/>
    </row>
    <row r="8" spans="1:9" x14ac:dyDescent="0.25">
      <c r="A8" s="5" t="str">
        <f t="shared" si="0"/>
        <v/>
      </c>
      <c r="C8" s="1"/>
      <c r="D8" s="1"/>
    </row>
    <row r="9" spans="1:9" x14ac:dyDescent="0.25">
      <c r="A9" s="5" t="str">
        <f t="shared" si="0"/>
        <v/>
      </c>
      <c r="C9" s="1"/>
      <c r="D9" s="1"/>
    </row>
    <row r="10" spans="1:9" x14ac:dyDescent="0.25">
      <c r="A10" s="5" t="str">
        <f t="shared" si="0"/>
        <v/>
      </c>
      <c r="C10" s="1"/>
      <c r="D10" s="1"/>
    </row>
    <row r="11" spans="1:9" x14ac:dyDescent="0.25">
      <c r="A11" s="5" t="str">
        <f t="shared" si="0"/>
        <v/>
      </c>
      <c r="C11" s="1"/>
      <c r="D11" s="1"/>
    </row>
    <row r="12" spans="1:9" x14ac:dyDescent="0.25">
      <c r="A12" s="5" t="str">
        <f t="shared" si="0"/>
        <v/>
      </c>
      <c r="C12" s="1"/>
      <c r="D12" s="1"/>
    </row>
    <row r="13" spans="1:9" x14ac:dyDescent="0.25">
      <c r="A13" s="5" t="str">
        <f t="shared" si="0"/>
        <v/>
      </c>
      <c r="C13" s="1"/>
      <c r="D13" s="1"/>
    </row>
    <row r="14" spans="1:9" x14ac:dyDescent="0.25">
      <c r="A14" s="5" t="str">
        <f t="shared" si="0"/>
        <v/>
      </c>
      <c r="C14" s="1"/>
      <c r="D14" s="1"/>
    </row>
    <row r="15" spans="1:9" x14ac:dyDescent="0.25">
      <c r="A15" s="5" t="str">
        <f t="shared" si="0"/>
        <v/>
      </c>
      <c r="C15" s="1"/>
      <c r="D15" s="1"/>
    </row>
    <row r="16" spans="1:9" x14ac:dyDescent="0.25">
      <c r="A16" s="5" t="str">
        <f t="shared" si="0"/>
        <v/>
      </c>
      <c r="C16" s="1"/>
      <c r="D16" s="1"/>
    </row>
    <row r="17" spans="1:4" x14ac:dyDescent="0.25">
      <c r="A17" s="5" t="str">
        <f t="shared" si="0"/>
        <v/>
      </c>
      <c r="C17" s="1"/>
      <c r="D17" s="1"/>
    </row>
    <row r="18" spans="1:4" x14ac:dyDescent="0.25">
      <c r="A18" s="5" t="str">
        <f t="shared" si="0"/>
        <v/>
      </c>
      <c r="C18" s="1"/>
      <c r="D18" s="1"/>
    </row>
    <row r="19" spans="1:4" x14ac:dyDescent="0.25">
      <c r="A19" s="5" t="str">
        <f t="shared" si="0"/>
        <v/>
      </c>
      <c r="C19" s="1"/>
      <c r="D19" s="1"/>
    </row>
    <row r="20" spans="1:4" x14ac:dyDescent="0.25">
      <c r="A20" s="5" t="str">
        <f t="shared" si="0"/>
        <v/>
      </c>
      <c r="C20" s="1"/>
      <c r="D20" s="1"/>
    </row>
    <row r="21" spans="1:4" x14ac:dyDescent="0.25">
      <c r="A21" s="5" t="str">
        <f t="shared" si="0"/>
        <v/>
      </c>
      <c r="C21" s="1"/>
      <c r="D21" s="1"/>
    </row>
    <row r="22" spans="1:4" x14ac:dyDescent="0.25">
      <c r="A22" s="5" t="str">
        <f t="shared" si="0"/>
        <v/>
      </c>
      <c r="C22" s="1"/>
      <c r="D22" s="1"/>
    </row>
    <row r="23" spans="1:4" x14ac:dyDescent="0.25">
      <c r="A23" s="5" t="str">
        <f t="shared" si="0"/>
        <v/>
      </c>
      <c r="C23" s="1"/>
      <c r="D23" s="1"/>
    </row>
    <row r="24" spans="1:4" x14ac:dyDescent="0.25">
      <c r="A24" s="5" t="str">
        <f t="shared" si="0"/>
        <v/>
      </c>
      <c r="C24" s="1"/>
      <c r="D24" s="1"/>
    </row>
    <row r="25" spans="1:4" x14ac:dyDescent="0.25">
      <c r="A25" s="5" t="str">
        <f t="shared" si="0"/>
        <v/>
      </c>
      <c r="C25" s="1"/>
      <c r="D25" s="1"/>
    </row>
    <row r="26" spans="1:4" x14ac:dyDescent="0.25">
      <c r="A26" s="5" t="str">
        <f t="shared" si="0"/>
        <v/>
      </c>
      <c r="C26" s="1"/>
      <c r="D26" s="1"/>
    </row>
    <row r="27" spans="1:4" x14ac:dyDescent="0.25">
      <c r="A27" s="5" t="str">
        <f t="shared" si="0"/>
        <v/>
      </c>
      <c r="C27" s="1"/>
      <c r="D27" s="1"/>
    </row>
    <row r="28" spans="1:4" x14ac:dyDescent="0.25">
      <c r="A28" s="5" t="str">
        <f t="shared" si="0"/>
        <v/>
      </c>
      <c r="C28" s="1"/>
      <c r="D28" s="1"/>
    </row>
    <row r="29" spans="1:4" x14ac:dyDescent="0.25">
      <c r="A29" s="5" t="str">
        <f t="shared" si="0"/>
        <v/>
      </c>
      <c r="C29" s="1"/>
      <c r="D29" s="1"/>
    </row>
    <row r="30" spans="1:4" x14ac:dyDescent="0.25">
      <c r="A30" s="5" t="str">
        <f t="shared" si="0"/>
        <v/>
      </c>
      <c r="C30" s="1"/>
      <c r="D30" s="1"/>
    </row>
    <row r="31" spans="1:4" x14ac:dyDescent="0.25">
      <c r="A31" s="5" t="str">
        <f t="shared" si="0"/>
        <v/>
      </c>
      <c r="C31" s="1"/>
      <c r="D31" s="1"/>
    </row>
    <row r="32" spans="1:4" x14ac:dyDescent="0.25">
      <c r="A32" s="5" t="str">
        <f t="shared" si="0"/>
        <v/>
      </c>
      <c r="C32" s="1"/>
      <c r="D32" s="1"/>
    </row>
    <row r="33" spans="1:4" x14ac:dyDescent="0.25">
      <c r="A33" s="5" t="str">
        <f t="shared" si="0"/>
        <v/>
      </c>
      <c r="C33" s="1"/>
      <c r="D33" s="1"/>
    </row>
    <row r="34" spans="1:4" x14ac:dyDescent="0.25">
      <c r="A34" s="5" t="str">
        <f t="shared" si="0"/>
        <v/>
      </c>
      <c r="C34" s="1"/>
      <c r="D34" s="1"/>
    </row>
    <row r="35" spans="1:4" x14ac:dyDescent="0.25">
      <c r="A35" s="5" t="str">
        <f t="shared" si="0"/>
        <v/>
      </c>
      <c r="C35" s="1"/>
      <c r="D35" s="1"/>
    </row>
    <row r="36" spans="1:4" x14ac:dyDescent="0.25">
      <c r="A36" s="5" t="str">
        <f t="shared" si="0"/>
        <v/>
      </c>
      <c r="C36" s="1"/>
      <c r="D36" s="1"/>
    </row>
    <row r="37" spans="1:4" x14ac:dyDescent="0.25">
      <c r="A37" s="5" t="str">
        <f t="shared" si="0"/>
        <v/>
      </c>
      <c r="C37" s="1"/>
      <c r="D37" s="1"/>
    </row>
    <row r="38" spans="1:4" x14ac:dyDescent="0.25">
      <c r="A38" s="5" t="str">
        <f t="shared" si="0"/>
        <v/>
      </c>
      <c r="C38" s="1"/>
      <c r="D38" s="1"/>
    </row>
    <row r="39" spans="1:4" x14ac:dyDescent="0.25">
      <c r="A39" s="5" t="str">
        <f t="shared" si="0"/>
        <v/>
      </c>
      <c r="C39" s="1"/>
      <c r="D39" s="1"/>
    </row>
    <row r="40" spans="1:4" x14ac:dyDescent="0.25">
      <c r="A40" s="5" t="str">
        <f t="shared" si="0"/>
        <v/>
      </c>
      <c r="C40" s="1"/>
      <c r="D40" s="1"/>
    </row>
    <row r="41" spans="1:4" x14ac:dyDescent="0.25">
      <c r="A41" s="5" t="str">
        <f t="shared" si="0"/>
        <v/>
      </c>
      <c r="C41" s="1"/>
      <c r="D41" s="1"/>
    </row>
    <row r="42" spans="1:4" x14ac:dyDescent="0.25">
      <c r="A42" s="5" t="str">
        <f t="shared" si="0"/>
        <v/>
      </c>
      <c r="C42" s="1"/>
      <c r="D42" s="1"/>
    </row>
    <row r="43" spans="1:4" x14ac:dyDescent="0.25">
      <c r="A43" s="5" t="str">
        <f t="shared" si="0"/>
        <v/>
      </c>
      <c r="C43" s="1"/>
      <c r="D43" s="1"/>
    </row>
    <row r="44" spans="1:4" x14ac:dyDescent="0.25">
      <c r="A44" s="5" t="str">
        <f t="shared" si="0"/>
        <v/>
      </c>
      <c r="C44" s="1"/>
      <c r="D44" s="1"/>
    </row>
    <row r="45" spans="1:4" x14ac:dyDescent="0.25">
      <c r="A45" s="5" t="str">
        <f t="shared" si="0"/>
        <v/>
      </c>
      <c r="C45" s="1"/>
      <c r="D45" s="1"/>
    </row>
    <row r="46" spans="1:4" x14ac:dyDescent="0.25">
      <c r="A46" s="5" t="str">
        <f t="shared" si="0"/>
        <v/>
      </c>
      <c r="C46" s="1"/>
      <c r="D46" s="1"/>
    </row>
    <row r="47" spans="1:4" x14ac:dyDescent="0.25">
      <c r="A47" s="5" t="str">
        <f t="shared" si="0"/>
        <v/>
      </c>
      <c r="C47" s="1"/>
      <c r="D47" s="1"/>
    </row>
    <row r="48" spans="1:4" x14ac:dyDescent="0.25">
      <c r="A48" s="5" t="str">
        <f t="shared" si="0"/>
        <v/>
      </c>
      <c r="C48" s="1"/>
      <c r="D48" s="1"/>
    </row>
    <row r="49" spans="1:4" x14ac:dyDescent="0.25">
      <c r="A49" s="5" t="str">
        <f t="shared" si="0"/>
        <v/>
      </c>
      <c r="C49" s="1"/>
      <c r="D49" s="1"/>
    </row>
    <row r="50" spans="1:4" x14ac:dyDescent="0.25">
      <c r="A50" s="5" t="str">
        <f t="shared" si="0"/>
        <v/>
      </c>
      <c r="C50" s="1"/>
      <c r="D50" s="1"/>
    </row>
    <row r="51" spans="1:4" x14ac:dyDescent="0.25">
      <c r="A51" s="5" t="str">
        <f t="shared" si="0"/>
        <v/>
      </c>
      <c r="C51" s="1"/>
      <c r="D51" s="1"/>
    </row>
    <row r="52" spans="1:4" x14ac:dyDescent="0.25">
      <c r="A52" s="5" t="str">
        <f t="shared" si="0"/>
        <v/>
      </c>
      <c r="C52" s="1"/>
      <c r="D52" s="1"/>
    </row>
    <row r="53" spans="1:4" x14ac:dyDescent="0.25">
      <c r="A53" s="5" t="str">
        <f t="shared" si="0"/>
        <v/>
      </c>
      <c r="C53" s="1"/>
      <c r="D53" s="1"/>
    </row>
    <row r="54" spans="1:4" x14ac:dyDescent="0.25">
      <c r="A54" s="5" t="str">
        <f t="shared" si="0"/>
        <v/>
      </c>
      <c r="C54" s="1"/>
      <c r="D54" s="1"/>
    </row>
    <row r="55" spans="1:4" x14ac:dyDescent="0.25">
      <c r="A55" s="5" t="str">
        <f t="shared" si="0"/>
        <v/>
      </c>
      <c r="C55" s="1"/>
      <c r="D55" s="1"/>
    </row>
    <row r="56" spans="1:4" x14ac:dyDescent="0.25">
      <c r="A56" s="5" t="str">
        <f t="shared" si="0"/>
        <v/>
      </c>
      <c r="C56" s="1"/>
      <c r="D56" s="1"/>
    </row>
    <row r="57" spans="1:4" x14ac:dyDescent="0.25">
      <c r="A57" s="5" t="str">
        <f t="shared" si="0"/>
        <v/>
      </c>
      <c r="C57" s="1"/>
      <c r="D57" s="1"/>
    </row>
    <row r="58" spans="1:4" x14ac:dyDescent="0.25">
      <c r="A58" s="5" t="str">
        <f t="shared" si="0"/>
        <v/>
      </c>
      <c r="C58" s="1"/>
      <c r="D58" s="1"/>
    </row>
    <row r="59" spans="1:4" x14ac:dyDescent="0.25">
      <c r="A59" s="5" t="str">
        <f t="shared" si="0"/>
        <v/>
      </c>
      <c r="C59" s="1"/>
      <c r="D59" s="1"/>
    </row>
    <row r="60" spans="1:4" x14ac:dyDescent="0.25">
      <c r="A60" s="5" t="str">
        <f t="shared" si="0"/>
        <v/>
      </c>
      <c r="C60" s="1"/>
      <c r="D60" s="1"/>
    </row>
    <row r="61" spans="1:4" x14ac:dyDescent="0.25">
      <c r="A61" s="5" t="str">
        <f t="shared" si="0"/>
        <v/>
      </c>
      <c r="C61" s="1"/>
      <c r="D61" s="1"/>
    </row>
    <row r="62" spans="1:4" x14ac:dyDescent="0.25">
      <c r="A62" s="5" t="str">
        <f t="shared" si="0"/>
        <v/>
      </c>
      <c r="C62" s="1"/>
      <c r="D62" s="1"/>
    </row>
    <row r="63" spans="1:4" x14ac:dyDescent="0.25">
      <c r="A63" s="5" t="str">
        <f t="shared" si="0"/>
        <v/>
      </c>
      <c r="C63" s="1"/>
      <c r="D63" s="1"/>
    </row>
    <row r="64" spans="1:4" x14ac:dyDescent="0.25">
      <c r="A64" s="5" t="str">
        <f t="shared" si="0"/>
        <v/>
      </c>
      <c r="C64" s="1"/>
      <c r="D64" s="1"/>
    </row>
    <row r="65" spans="1:4" x14ac:dyDescent="0.25">
      <c r="A65" s="5" t="str">
        <f t="shared" si="0"/>
        <v/>
      </c>
      <c r="C65" s="1"/>
      <c r="D65" s="1"/>
    </row>
    <row r="66" spans="1:4" x14ac:dyDescent="0.25">
      <c r="A66" s="5" t="str">
        <f t="shared" si="0"/>
        <v/>
      </c>
      <c r="C66" s="1"/>
      <c r="D66" s="1"/>
    </row>
    <row r="67" spans="1:4" x14ac:dyDescent="0.25">
      <c r="A67" s="5" t="str">
        <f t="shared" si="0"/>
        <v/>
      </c>
      <c r="C67" s="1"/>
      <c r="D67" s="1"/>
    </row>
    <row r="68" spans="1:4" x14ac:dyDescent="0.25">
      <c r="A68" s="5" t="str">
        <f t="shared" si="0"/>
        <v/>
      </c>
      <c r="C68" s="1"/>
      <c r="D68" s="1"/>
    </row>
    <row r="69" spans="1:4" x14ac:dyDescent="0.25">
      <c r="A69" s="5" t="str">
        <f t="shared" si="0"/>
        <v/>
      </c>
      <c r="C69" s="1"/>
      <c r="D69" s="1"/>
    </row>
    <row r="70" spans="1:4" x14ac:dyDescent="0.25">
      <c r="A70" s="5" t="str">
        <f t="shared" si="0"/>
        <v/>
      </c>
      <c r="C70" s="1"/>
      <c r="D70" s="1"/>
    </row>
    <row r="71" spans="1:4" x14ac:dyDescent="0.25">
      <c r="A71" s="5" t="str">
        <f t="shared" ref="A71:A134" si="1">IF(B71="","",A70+1)</f>
        <v/>
      </c>
      <c r="C71" s="1"/>
      <c r="D71" s="1"/>
    </row>
    <row r="72" spans="1:4" x14ac:dyDescent="0.25">
      <c r="A72" s="5" t="str">
        <f t="shared" si="1"/>
        <v/>
      </c>
      <c r="C72" s="1"/>
      <c r="D72" s="1"/>
    </row>
    <row r="73" spans="1:4" x14ac:dyDescent="0.25">
      <c r="A73" s="5" t="str">
        <f t="shared" si="1"/>
        <v/>
      </c>
      <c r="C73" s="1"/>
      <c r="D73" s="1"/>
    </row>
    <row r="74" spans="1:4" x14ac:dyDescent="0.25">
      <c r="A74" s="5" t="str">
        <f t="shared" si="1"/>
        <v/>
      </c>
      <c r="C74" s="1"/>
      <c r="D74" s="1"/>
    </row>
    <row r="75" spans="1:4" x14ac:dyDescent="0.25">
      <c r="A75" s="5" t="str">
        <f t="shared" si="1"/>
        <v/>
      </c>
      <c r="C75" s="1"/>
      <c r="D75" s="1"/>
    </row>
    <row r="76" spans="1:4" x14ac:dyDescent="0.25">
      <c r="A76" s="5" t="str">
        <f t="shared" si="1"/>
        <v/>
      </c>
      <c r="C76" s="1"/>
      <c r="D76" s="1"/>
    </row>
    <row r="77" spans="1:4" x14ac:dyDescent="0.25">
      <c r="A77" s="5" t="str">
        <f t="shared" si="1"/>
        <v/>
      </c>
      <c r="C77" s="1"/>
      <c r="D77" s="1"/>
    </row>
    <row r="78" spans="1:4" x14ac:dyDescent="0.25">
      <c r="A78" s="5" t="str">
        <f t="shared" si="1"/>
        <v/>
      </c>
      <c r="C78" s="1"/>
      <c r="D78" s="1"/>
    </row>
    <row r="79" spans="1:4" x14ac:dyDescent="0.25">
      <c r="A79" s="5" t="str">
        <f t="shared" si="1"/>
        <v/>
      </c>
      <c r="C79" s="1"/>
      <c r="D79" s="1"/>
    </row>
    <row r="80" spans="1:4" x14ac:dyDescent="0.25">
      <c r="A80" s="5" t="str">
        <f t="shared" si="1"/>
        <v/>
      </c>
      <c r="C80" s="1"/>
      <c r="D80" s="1"/>
    </row>
    <row r="81" spans="1:4" x14ac:dyDescent="0.25">
      <c r="A81" s="5" t="str">
        <f t="shared" si="1"/>
        <v/>
      </c>
      <c r="C81" s="1"/>
      <c r="D81" s="1"/>
    </row>
    <row r="82" spans="1:4" x14ac:dyDescent="0.25">
      <c r="A82" s="5" t="str">
        <f t="shared" si="1"/>
        <v/>
      </c>
      <c r="C82" s="1"/>
      <c r="D82" s="1"/>
    </row>
    <row r="83" spans="1:4" x14ac:dyDescent="0.25">
      <c r="A83" s="5" t="str">
        <f t="shared" si="1"/>
        <v/>
      </c>
      <c r="C83" s="1"/>
      <c r="D83" s="1"/>
    </row>
    <row r="84" spans="1:4" x14ac:dyDescent="0.25">
      <c r="A84" s="5" t="str">
        <f t="shared" si="1"/>
        <v/>
      </c>
      <c r="C84" s="1"/>
      <c r="D84" s="1"/>
    </row>
    <row r="85" spans="1:4" x14ac:dyDescent="0.25">
      <c r="A85" s="5" t="str">
        <f t="shared" si="1"/>
        <v/>
      </c>
      <c r="C85" s="1"/>
      <c r="D85" s="1"/>
    </row>
    <row r="86" spans="1:4" x14ac:dyDescent="0.25">
      <c r="A86" s="5" t="str">
        <f t="shared" si="1"/>
        <v/>
      </c>
      <c r="C86" s="1"/>
      <c r="D86" s="1"/>
    </row>
    <row r="87" spans="1:4" x14ac:dyDescent="0.25">
      <c r="A87" s="5" t="str">
        <f t="shared" si="1"/>
        <v/>
      </c>
      <c r="C87" s="1"/>
      <c r="D87" s="1"/>
    </row>
    <row r="88" spans="1:4" x14ac:dyDescent="0.25">
      <c r="A88" s="5" t="str">
        <f t="shared" si="1"/>
        <v/>
      </c>
      <c r="C88" s="1"/>
      <c r="D88" s="1"/>
    </row>
    <row r="89" spans="1:4" x14ac:dyDescent="0.25">
      <c r="A89" s="5" t="str">
        <f t="shared" si="1"/>
        <v/>
      </c>
      <c r="C89" s="1"/>
      <c r="D89" s="1"/>
    </row>
    <row r="90" spans="1:4" x14ac:dyDescent="0.25">
      <c r="A90" s="5" t="str">
        <f t="shared" si="1"/>
        <v/>
      </c>
      <c r="C90" s="1"/>
      <c r="D90" s="1"/>
    </row>
    <row r="91" spans="1:4" x14ac:dyDescent="0.25">
      <c r="A91" s="5" t="str">
        <f t="shared" si="1"/>
        <v/>
      </c>
      <c r="C91" s="1"/>
      <c r="D91" s="1"/>
    </row>
    <row r="92" spans="1:4" x14ac:dyDescent="0.25">
      <c r="A92" s="5" t="str">
        <f t="shared" si="1"/>
        <v/>
      </c>
      <c r="C92" s="1"/>
      <c r="D92" s="1"/>
    </row>
    <row r="93" spans="1:4" x14ac:dyDescent="0.25">
      <c r="A93" s="5" t="str">
        <f t="shared" si="1"/>
        <v/>
      </c>
      <c r="C93" s="1"/>
      <c r="D93" s="1"/>
    </row>
    <row r="94" spans="1:4" x14ac:dyDescent="0.25">
      <c r="A94" s="5" t="str">
        <f t="shared" si="1"/>
        <v/>
      </c>
      <c r="C94" s="1"/>
      <c r="D94" s="1"/>
    </row>
    <row r="95" spans="1:4" x14ac:dyDescent="0.25">
      <c r="A95" s="5" t="str">
        <f t="shared" si="1"/>
        <v/>
      </c>
      <c r="C95" s="1"/>
      <c r="D95" s="1"/>
    </row>
    <row r="96" spans="1:4" x14ac:dyDescent="0.25">
      <c r="A96" s="5" t="str">
        <f t="shared" si="1"/>
        <v/>
      </c>
      <c r="C96" s="1"/>
      <c r="D96" s="1"/>
    </row>
    <row r="97" spans="1:4" x14ac:dyDescent="0.25">
      <c r="A97" s="5" t="str">
        <f t="shared" si="1"/>
        <v/>
      </c>
      <c r="C97" s="1"/>
      <c r="D97" s="1"/>
    </row>
    <row r="98" spans="1:4" x14ac:dyDescent="0.25">
      <c r="A98" s="5" t="str">
        <f t="shared" si="1"/>
        <v/>
      </c>
      <c r="C98" s="1"/>
      <c r="D98" s="1"/>
    </row>
    <row r="99" spans="1:4" x14ac:dyDescent="0.25">
      <c r="A99" s="5" t="str">
        <f t="shared" si="1"/>
        <v/>
      </c>
      <c r="C99" s="1"/>
      <c r="D99" s="1"/>
    </row>
    <row r="100" spans="1:4" x14ac:dyDescent="0.25">
      <c r="A100" s="5" t="str">
        <f t="shared" si="1"/>
        <v/>
      </c>
      <c r="C100" s="1"/>
      <c r="D100" s="1"/>
    </row>
    <row r="101" spans="1:4" x14ac:dyDescent="0.25">
      <c r="A101" s="5" t="str">
        <f t="shared" si="1"/>
        <v/>
      </c>
      <c r="C101" s="1"/>
      <c r="D101" s="1"/>
    </row>
    <row r="102" spans="1:4" x14ac:dyDescent="0.25">
      <c r="A102" s="5" t="str">
        <f t="shared" si="1"/>
        <v/>
      </c>
      <c r="C102" s="1"/>
      <c r="D102" s="1"/>
    </row>
    <row r="103" spans="1:4" x14ac:dyDescent="0.25">
      <c r="A103" s="5" t="str">
        <f t="shared" si="1"/>
        <v/>
      </c>
      <c r="C103" s="1"/>
      <c r="D103" s="1"/>
    </row>
    <row r="104" spans="1:4" x14ac:dyDescent="0.25">
      <c r="A104" s="5" t="str">
        <f t="shared" si="1"/>
        <v/>
      </c>
      <c r="C104" s="1"/>
      <c r="D104" s="1"/>
    </row>
    <row r="105" spans="1:4" x14ac:dyDescent="0.25">
      <c r="A105" s="5" t="str">
        <f t="shared" si="1"/>
        <v/>
      </c>
      <c r="C105" s="1"/>
      <c r="D105" s="1"/>
    </row>
    <row r="106" spans="1:4" x14ac:dyDescent="0.25">
      <c r="A106" s="5" t="str">
        <f t="shared" si="1"/>
        <v/>
      </c>
      <c r="C106" s="1"/>
      <c r="D106" s="1"/>
    </row>
    <row r="107" spans="1:4" x14ac:dyDescent="0.25">
      <c r="A107" s="5" t="str">
        <f t="shared" si="1"/>
        <v/>
      </c>
      <c r="C107" s="1"/>
      <c r="D107" s="1"/>
    </row>
    <row r="108" spans="1:4" x14ac:dyDescent="0.25">
      <c r="A108" s="5" t="str">
        <f t="shared" si="1"/>
        <v/>
      </c>
      <c r="C108" s="1"/>
      <c r="D108" s="1"/>
    </row>
    <row r="109" spans="1:4" x14ac:dyDescent="0.25">
      <c r="A109" s="5" t="str">
        <f t="shared" si="1"/>
        <v/>
      </c>
      <c r="C109" s="1"/>
      <c r="D109" s="1"/>
    </row>
    <row r="110" spans="1:4" x14ac:dyDescent="0.25">
      <c r="A110" s="5" t="str">
        <f t="shared" si="1"/>
        <v/>
      </c>
      <c r="C110" s="1"/>
      <c r="D110" s="1"/>
    </row>
    <row r="111" spans="1:4" x14ac:dyDescent="0.25">
      <c r="A111" s="5" t="str">
        <f t="shared" si="1"/>
        <v/>
      </c>
      <c r="C111" s="1"/>
      <c r="D111" s="1"/>
    </row>
    <row r="112" spans="1:4" x14ac:dyDescent="0.25">
      <c r="A112" s="5" t="str">
        <f t="shared" si="1"/>
        <v/>
      </c>
      <c r="C112" s="1"/>
      <c r="D112" s="1"/>
    </row>
    <row r="113" spans="1:4" x14ac:dyDescent="0.25">
      <c r="A113" s="5" t="str">
        <f t="shared" si="1"/>
        <v/>
      </c>
      <c r="C113" s="1"/>
      <c r="D113" s="1"/>
    </row>
    <row r="114" spans="1:4" x14ac:dyDescent="0.25">
      <c r="A114" s="5" t="str">
        <f t="shared" si="1"/>
        <v/>
      </c>
      <c r="C114" s="1"/>
      <c r="D114" s="1"/>
    </row>
    <row r="115" spans="1:4" x14ac:dyDescent="0.25">
      <c r="A115" s="5" t="str">
        <f t="shared" si="1"/>
        <v/>
      </c>
      <c r="C115" s="1"/>
      <c r="D115" s="1"/>
    </row>
    <row r="116" spans="1:4" x14ac:dyDescent="0.25">
      <c r="A116" s="5" t="str">
        <f t="shared" si="1"/>
        <v/>
      </c>
      <c r="C116" s="1"/>
      <c r="D116" s="1"/>
    </row>
    <row r="117" spans="1:4" x14ac:dyDescent="0.25">
      <c r="A117" s="5" t="str">
        <f t="shared" si="1"/>
        <v/>
      </c>
      <c r="C117" s="1"/>
      <c r="D117" s="1"/>
    </row>
    <row r="118" spans="1:4" x14ac:dyDescent="0.25">
      <c r="A118" s="5" t="str">
        <f t="shared" si="1"/>
        <v/>
      </c>
      <c r="C118" s="1"/>
      <c r="D118" s="1"/>
    </row>
    <row r="119" spans="1:4" x14ac:dyDescent="0.25">
      <c r="A119" s="5" t="str">
        <f t="shared" si="1"/>
        <v/>
      </c>
      <c r="C119" s="1"/>
      <c r="D119" s="1"/>
    </row>
    <row r="120" spans="1:4" x14ac:dyDescent="0.25">
      <c r="A120" s="5" t="str">
        <f t="shared" si="1"/>
        <v/>
      </c>
      <c r="C120" s="1"/>
      <c r="D120" s="1"/>
    </row>
    <row r="121" spans="1:4" x14ac:dyDescent="0.25">
      <c r="A121" s="5" t="str">
        <f t="shared" si="1"/>
        <v/>
      </c>
      <c r="C121" s="1"/>
      <c r="D121" s="1"/>
    </row>
    <row r="122" spans="1:4" x14ac:dyDescent="0.25">
      <c r="A122" s="5" t="str">
        <f t="shared" si="1"/>
        <v/>
      </c>
      <c r="C122" s="1"/>
      <c r="D122" s="1"/>
    </row>
    <row r="123" spans="1:4" x14ac:dyDescent="0.25">
      <c r="A123" s="5" t="str">
        <f t="shared" si="1"/>
        <v/>
      </c>
      <c r="C123" s="1"/>
      <c r="D123" s="1"/>
    </row>
    <row r="124" spans="1:4" x14ac:dyDescent="0.25">
      <c r="A124" s="5" t="str">
        <f t="shared" si="1"/>
        <v/>
      </c>
      <c r="C124" s="1"/>
      <c r="D124" s="1"/>
    </row>
    <row r="125" spans="1:4" x14ac:dyDescent="0.25">
      <c r="A125" s="5" t="str">
        <f t="shared" si="1"/>
        <v/>
      </c>
      <c r="C125" s="1"/>
      <c r="D125" s="1"/>
    </row>
    <row r="126" spans="1:4" x14ac:dyDescent="0.25">
      <c r="A126" s="5" t="str">
        <f t="shared" si="1"/>
        <v/>
      </c>
      <c r="C126" s="1"/>
      <c r="D126" s="1"/>
    </row>
    <row r="127" spans="1:4" x14ac:dyDescent="0.25">
      <c r="A127" s="5" t="str">
        <f t="shared" si="1"/>
        <v/>
      </c>
      <c r="C127" s="1"/>
      <c r="D127" s="1"/>
    </row>
    <row r="128" spans="1:4" x14ac:dyDescent="0.25">
      <c r="A128" s="5" t="str">
        <f t="shared" si="1"/>
        <v/>
      </c>
      <c r="C128" s="1"/>
      <c r="D128" s="1"/>
    </row>
    <row r="129" spans="1:4" x14ac:dyDescent="0.25">
      <c r="A129" s="5" t="str">
        <f t="shared" si="1"/>
        <v/>
      </c>
      <c r="C129" s="1"/>
      <c r="D129" s="1"/>
    </row>
    <row r="130" spans="1:4" x14ac:dyDescent="0.25">
      <c r="A130" s="5" t="str">
        <f t="shared" si="1"/>
        <v/>
      </c>
      <c r="C130" s="1"/>
      <c r="D130" s="1"/>
    </row>
    <row r="131" spans="1:4" x14ac:dyDescent="0.25">
      <c r="A131" s="5" t="str">
        <f t="shared" si="1"/>
        <v/>
      </c>
      <c r="C131" s="1"/>
      <c r="D131" s="1"/>
    </row>
    <row r="132" spans="1:4" x14ac:dyDescent="0.25">
      <c r="A132" s="5" t="str">
        <f t="shared" si="1"/>
        <v/>
      </c>
      <c r="C132" s="1"/>
      <c r="D132" s="1"/>
    </row>
    <row r="133" spans="1:4" x14ac:dyDescent="0.25">
      <c r="A133" s="5" t="str">
        <f t="shared" si="1"/>
        <v/>
      </c>
      <c r="C133" s="1"/>
      <c r="D133" s="1"/>
    </row>
    <row r="134" spans="1:4" x14ac:dyDescent="0.25">
      <c r="A134" s="5" t="str">
        <f t="shared" si="1"/>
        <v/>
      </c>
      <c r="C134" s="1"/>
      <c r="D134" s="1"/>
    </row>
    <row r="135" spans="1:4" x14ac:dyDescent="0.25">
      <c r="A135" s="5" t="str">
        <f t="shared" ref="A135:A198" si="2">IF(B135="","",A134+1)</f>
        <v/>
      </c>
      <c r="C135" s="1"/>
      <c r="D135" s="1"/>
    </row>
    <row r="136" spans="1:4" x14ac:dyDescent="0.25">
      <c r="A136" s="5" t="str">
        <f t="shared" si="2"/>
        <v/>
      </c>
      <c r="C136" s="1"/>
      <c r="D136" s="1"/>
    </row>
    <row r="137" spans="1:4" x14ac:dyDescent="0.25">
      <c r="A137" s="5" t="str">
        <f t="shared" si="2"/>
        <v/>
      </c>
      <c r="C137" s="1"/>
      <c r="D137" s="1"/>
    </row>
    <row r="138" spans="1:4" x14ac:dyDescent="0.25">
      <c r="A138" s="5" t="str">
        <f t="shared" si="2"/>
        <v/>
      </c>
      <c r="C138" s="1"/>
      <c r="D138" s="1"/>
    </row>
    <row r="139" spans="1:4" x14ac:dyDescent="0.25">
      <c r="A139" s="5" t="str">
        <f t="shared" si="2"/>
        <v/>
      </c>
      <c r="C139" s="1"/>
      <c r="D139" s="1"/>
    </row>
    <row r="140" spans="1:4" x14ac:dyDescent="0.25">
      <c r="A140" s="5" t="str">
        <f t="shared" si="2"/>
        <v/>
      </c>
      <c r="C140" s="1"/>
      <c r="D140" s="1"/>
    </row>
    <row r="141" spans="1:4" x14ac:dyDescent="0.25">
      <c r="A141" s="5" t="str">
        <f t="shared" si="2"/>
        <v/>
      </c>
      <c r="C141" s="1"/>
      <c r="D141" s="1"/>
    </row>
    <row r="142" spans="1:4" x14ac:dyDescent="0.25">
      <c r="A142" s="5" t="str">
        <f t="shared" si="2"/>
        <v/>
      </c>
      <c r="C142" s="1"/>
      <c r="D142" s="1"/>
    </row>
    <row r="143" spans="1:4" x14ac:dyDescent="0.25">
      <c r="A143" s="5" t="str">
        <f t="shared" si="2"/>
        <v/>
      </c>
      <c r="C143" s="1"/>
      <c r="D143" s="1"/>
    </row>
    <row r="144" spans="1:4" x14ac:dyDescent="0.25">
      <c r="A144" s="5" t="str">
        <f t="shared" si="2"/>
        <v/>
      </c>
      <c r="C144" s="1"/>
      <c r="D144" s="1"/>
    </row>
    <row r="145" spans="1:4" x14ac:dyDescent="0.25">
      <c r="A145" s="5" t="str">
        <f t="shared" si="2"/>
        <v/>
      </c>
      <c r="C145" s="1"/>
      <c r="D145" s="1"/>
    </row>
    <row r="146" spans="1:4" x14ac:dyDescent="0.25">
      <c r="A146" s="5" t="str">
        <f t="shared" si="2"/>
        <v/>
      </c>
      <c r="C146" s="1"/>
      <c r="D146" s="1"/>
    </row>
    <row r="147" spans="1:4" x14ac:dyDescent="0.25">
      <c r="A147" s="5" t="str">
        <f t="shared" si="2"/>
        <v/>
      </c>
      <c r="C147" s="1"/>
      <c r="D147" s="1"/>
    </row>
    <row r="148" spans="1:4" x14ac:dyDescent="0.25">
      <c r="A148" s="5" t="str">
        <f t="shared" si="2"/>
        <v/>
      </c>
      <c r="C148" s="1"/>
      <c r="D148" s="1"/>
    </row>
    <row r="149" spans="1:4" x14ac:dyDescent="0.25">
      <c r="A149" s="5" t="str">
        <f t="shared" si="2"/>
        <v/>
      </c>
      <c r="C149" s="1"/>
      <c r="D149" s="1"/>
    </row>
    <row r="150" spans="1:4" x14ac:dyDescent="0.25">
      <c r="A150" s="5" t="str">
        <f t="shared" si="2"/>
        <v/>
      </c>
      <c r="C150" s="1"/>
      <c r="D150" s="1"/>
    </row>
    <row r="151" spans="1:4" x14ac:dyDescent="0.25">
      <c r="A151" s="5" t="str">
        <f t="shared" si="2"/>
        <v/>
      </c>
      <c r="C151" s="1"/>
      <c r="D151" s="1"/>
    </row>
    <row r="152" spans="1:4" x14ac:dyDescent="0.25">
      <c r="A152" s="5" t="str">
        <f t="shared" si="2"/>
        <v/>
      </c>
      <c r="C152" s="1"/>
      <c r="D152" s="1"/>
    </row>
    <row r="153" spans="1:4" x14ac:dyDescent="0.25">
      <c r="A153" s="5" t="str">
        <f t="shared" si="2"/>
        <v/>
      </c>
      <c r="C153" s="1"/>
      <c r="D153" s="1"/>
    </row>
    <row r="154" spans="1:4" x14ac:dyDescent="0.25">
      <c r="A154" s="5" t="str">
        <f t="shared" si="2"/>
        <v/>
      </c>
      <c r="C154" s="1"/>
      <c r="D154" s="1"/>
    </row>
    <row r="155" spans="1:4" x14ac:dyDescent="0.25">
      <c r="A155" s="5" t="str">
        <f t="shared" si="2"/>
        <v/>
      </c>
      <c r="C155" s="1"/>
      <c r="D155" s="1"/>
    </row>
    <row r="156" spans="1:4" x14ac:dyDescent="0.25">
      <c r="A156" s="5" t="str">
        <f t="shared" si="2"/>
        <v/>
      </c>
      <c r="C156" s="1"/>
      <c r="D156" s="1"/>
    </row>
    <row r="157" spans="1:4" x14ac:dyDescent="0.25">
      <c r="A157" s="5" t="str">
        <f t="shared" si="2"/>
        <v/>
      </c>
      <c r="C157" s="1"/>
      <c r="D157" s="1"/>
    </row>
    <row r="158" spans="1:4" x14ac:dyDescent="0.25">
      <c r="A158" s="5" t="str">
        <f t="shared" si="2"/>
        <v/>
      </c>
      <c r="C158" s="1"/>
      <c r="D158" s="1"/>
    </row>
    <row r="159" spans="1:4" x14ac:dyDescent="0.25">
      <c r="A159" s="5" t="str">
        <f t="shared" si="2"/>
        <v/>
      </c>
      <c r="C159" s="1"/>
      <c r="D159" s="1"/>
    </row>
    <row r="160" spans="1:4" x14ac:dyDescent="0.25">
      <c r="A160" s="5" t="str">
        <f t="shared" si="2"/>
        <v/>
      </c>
      <c r="C160" s="1"/>
      <c r="D160" s="1"/>
    </row>
    <row r="161" spans="1:4" x14ac:dyDescent="0.25">
      <c r="A161" s="5" t="str">
        <f t="shared" si="2"/>
        <v/>
      </c>
      <c r="C161" s="1"/>
      <c r="D161" s="1"/>
    </row>
    <row r="162" spans="1:4" x14ac:dyDescent="0.25">
      <c r="A162" s="5" t="str">
        <f t="shared" si="2"/>
        <v/>
      </c>
      <c r="C162" s="1"/>
      <c r="D162" s="1"/>
    </row>
    <row r="163" spans="1:4" x14ac:dyDescent="0.25">
      <c r="A163" s="5" t="str">
        <f t="shared" si="2"/>
        <v/>
      </c>
      <c r="C163" s="1"/>
      <c r="D163" s="1"/>
    </row>
    <row r="164" spans="1:4" x14ac:dyDescent="0.25">
      <c r="A164" s="5" t="str">
        <f t="shared" si="2"/>
        <v/>
      </c>
      <c r="C164" s="1"/>
      <c r="D164" s="1"/>
    </row>
    <row r="165" spans="1:4" x14ac:dyDescent="0.25">
      <c r="A165" s="5" t="str">
        <f t="shared" si="2"/>
        <v/>
      </c>
      <c r="C165" s="1"/>
      <c r="D165" s="1"/>
    </row>
    <row r="166" spans="1:4" x14ac:dyDescent="0.25">
      <c r="A166" s="5" t="str">
        <f t="shared" si="2"/>
        <v/>
      </c>
      <c r="C166" s="1"/>
      <c r="D166" s="1"/>
    </row>
    <row r="167" spans="1:4" x14ac:dyDescent="0.25">
      <c r="A167" s="5" t="str">
        <f t="shared" si="2"/>
        <v/>
      </c>
      <c r="C167" s="1"/>
      <c r="D167" s="1"/>
    </row>
    <row r="168" spans="1:4" x14ac:dyDescent="0.25">
      <c r="A168" s="5" t="str">
        <f t="shared" si="2"/>
        <v/>
      </c>
      <c r="C168" s="1"/>
      <c r="D168" s="1"/>
    </row>
    <row r="169" spans="1:4" x14ac:dyDescent="0.25">
      <c r="A169" s="5" t="str">
        <f t="shared" si="2"/>
        <v/>
      </c>
      <c r="C169" s="1"/>
      <c r="D169" s="1"/>
    </row>
    <row r="170" spans="1:4" x14ac:dyDescent="0.25">
      <c r="A170" s="5" t="str">
        <f t="shared" si="2"/>
        <v/>
      </c>
      <c r="C170" s="1"/>
      <c r="D170" s="1"/>
    </row>
    <row r="171" spans="1:4" x14ac:dyDescent="0.25">
      <c r="A171" s="5" t="str">
        <f t="shared" si="2"/>
        <v/>
      </c>
      <c r="C171" s="1"/>
      <c r="D171" s="1"/>
    </row>
    <row r="172" spans="1:4" x14ac:dyDescent="0.25">
      <c r="A172" s="5" t="str">
        <f t="shared" si="2"/>
        <v/>
      </c>
      <c r="C172" s="1"/>
      <c r="D172" s="1"/>
    </row>
    <row r="173" spans="1:4" x14ac:dyDescent="0.25">
      <c r="A173" s="5" t="str">
        <f t="shared" si="2"/>
        <v/>
      </c>
      <c r="C173" s="1"/>
      <c r="D173" s="1"/>
    </row>
    <row r="174" spans="1:4" x14ac:dyDescent="0.25">
      <c r="A174" s="5" t="str">
        <f t="shared" si="2"/>
        <v/>
      </c>
      <c r="C174" s="1"/>
      <c r="D174" s="1"/>
    </row>
    <row r="175" spans="1:4" x14ac:dyDescent="0.25">
      <c r="A175" s="5" t="str">
        <f t="shared" si="2"/>
        <v/>
      </c>
      <c r="C175" s="1"/>
      <c r="D175" s="1"/>
    </row>
    <row r="176" spans="1:4" x14ac:dyDescent="0.25">
      <c r="A176" s="5" t="str">
        <f t="shared" si="2"/>
        <v/>
      </c>
      <c r="C176" s="1"/>
      <c r="D176" s="1"/>
    </row>
    <row r="177" spans="1:4" x14ac:dyDescent="0.25">
      <c r="A177" s="5" t="str">
        <f t="shared" si="2"/>
        <v/>
      </c>
      <c r="C177" s="1"/>
      <c r="D177" s="1"/>
    </row>
    <row r="178" spans="1:4" x14ac:dyDescent="0.25">
      <c r="A178" s="5" t="str">
        <f t="shared" si="2"/>
        <v/>
      </c>
      <c r="C178" s="1"/>
      <c r="D178" s="1"/>
    </row>
    <row r="179" spans="1:4" x14ac:dyDescent="0.25">
      <c r="A179" s="5" t="str">
        <f t="shared" si="2"/>
        <v/>
      </c>
      <c r="C179" s="1"/>
      <c r="D179" s="1"/>
    </row>
    <row r="180" spans="1:4" x14ac:dyDescent="0.25">
      <c r="A180" s="5" t="str">
        <f t="shared" si="2"/>
        <v/>
      </c>
      <c r="C180" s="1"/>
      <c r="D180" s="1"/>
    </row>
    <row r="181" spans="1:4" x14ac:dyDescent="0.25">
      <c r="A181" s="5" t="str">
        <f t="shared" si="2"/>
        <v/>
      </c>
      <c r="C181" s="1"/>
      <c r="D181" s="1"/>
    </row>
    <row r="182" spans="1:4" x14ac:dyDescent="0.25">
      <c r="A182" s="5" t="str">
        <f t="shared" si="2"/>
        <v/>
      </c>
      <c r="C182" s="1"/>
      <c r="D182" s="1"/>
    </row>
    <row r="183" spans="1:4" x14ac:dyDescent="0.25">
      <c r="A183" s="5" t="str">
        <f t="shared" si="2"/>
        <v/>
      </c>
      <c r="C183" s="1"/>
      <c r="D183" s="1"/>
    </row>
    <row r="184" spans="1:4" x14ac:dyDescent="0.25">
      <c r="A184" s="5" t="str">
        <f t="shared" si="2"/>
        <v/>
      </c>
      <c r="C184" s="1"/>
      <c r="D184" s="1"/>
    </row>
    <row r="185" spans="1:4" x14ac:dyDescent="0.25">
      <c r="A185" s="5" t="str">
        <f t="shared" si="2"/>
        <v/>
      </c>
      <c r="C185" s="1"/>
      <c r="D185" s="1"/>
    </row>
    <row r="186" spans="1:4" x14ac:dyDescent="0.25">
      <c r="A186" s="5" t="str">
        <f t="shared" si="2"/>
        <v/>
      </c>
      <c r="C186" s="1"/>
      <c r="D186" s="1"/>
    </row>
    <row r="187" spans="1:4" x14ac:dyDescent="0.25">
      <c r="A187" s="5" t="str">
        <f t="shared" si="2"/>
        <v/>
      </c>
      <c r="C187" s="1"/>
      <c r="D187" s="1"/>
    </row>
    <row r="188" spans="1:4" x14ac:dyDescent="0.25">
      <c r="A188" s="5" t="str">
        <f t="shared" si="2"/>
        <v/>
      </c>
      <c r="C188" s="1"/>
      <c r="D188" s="1"/>
    </row>
    <row r="189" spans="1:4" x14ac:dyDescent="0.25">
      <c r="A189" s="5" t="str">
        <f t="shared" si="2"/>
        <v/>
      </c>
      <c r="C189" s="1"/>
      <c r="D189" s="1"/>
    </row>
    <row r="190" spans="1:4" x14ac:dyDescent="0.25">
      <c r="A190" s="5" t="str">
        <f t="shared" si="2"/>
        <v/>
      </c>
      <c r="C190" s="1"/>
      <c r="D190" s="1"/>
    </row>
    <row r="191" spans="1:4" x14ac:dyDescent="0.25">
      <c r="A191" s="5" t="str">
        <f t="shared" si="2"/>
        <v/>
      </c>
      <c r="C191" s="1"/>
      <c r="D191" s="1"/>
    </row>
    <row r="192" spans="1:4" x14ac:dyDescent="0.25">
      <c r="A192" s="5" t="str">
        <f t="shared" si="2"/>
        <v/>
      </c>
      <c r="C192" s="1"/>
      <c r="D192" s="1"/>
    </row>
    <row r="193" spans="1:4" x14ac:dyDescent="0.25">
      <c r="A193" s="5" t="str">
        <f t="shared" si="2"/>
        <v/>
      </c>
      <c r="C193" s="1"/>
      <c r="D193" s="1"/>
    </row>
    <row r="194" spans="1:4" x14ac:dyDescent="0.25">
      <c r="A194" s="5" t="str">
        <f t="shared" si="2"/>
        <v/>
      </c>
      <c r="C194" s="1"/>
      <c r="D194" s="1"/>
    </row>
    <row r="195" spans="1:4" x14ac:dyDescent="0.25">
      <c r="A195" s="5" t="str">
        <f t="shared" si="2"/>
        <v/>
      </c>
      <c r="C195" s="1"/>
      <c r="D195" s="1"/>
    </row>
    <row r="196" spans="1:4" x14ac:dyDescent="0.25">
      <c r="A196" s="5" t="str">
        <f t="shared" si="2"/>
        <v/>
      </c>
      <c r="C196" s="1"/>
      <c r="D196" s="1"/>
    </row>
    <row r="197" spans="1:4" x14ac:dyDescent="0.25">
      <c r="A197" s="5" t="str">
        <f t="shared" si="2"/>
        <v/>
      </c>
      <c r="C197" s="1"/>
      <c r="D197" s="1"/>
    </row>
    <row r="198" spans="1:4" x14ac:dyDescent="0.25">
      <c r="A198" s="5" t="str">
        <f t="shared" si="2"/>
        <v/>
      </c>
      <c r="C198" s="1"/>
      <c r="D198" s="1"/>
    </row>
    <row r="199" spans="1:4" x14ac:dyDescent="0.25">
      <c r="A199" s="5" t="str">
        <f t="shared" ref="A199:A262" si="3">IF(B199="","",A198+1)</f>
        <v/>
      </c>
      <c r="C199" s="1"/>
      <c r="D199" s="1"/>
    </row>
    <row r="200" spans="1:4" x14ac:dyDescent="0.25">
      <c r="A200" s="5" t="str">
        <f t="shared" si="3"/>
        <v/>
      </c>
      <c r="C200" s="1"/>
      <c r="D200" s="1"/>
    </row>
    <row r="201" spans="1:4" x14ac:dyDescent="0.25">
      <c r="A201" s="5" t="str">
        <f t="shared" si="3"/>
        <v/>
      </c>
      <c r="C201" s="1"/>
      <c r="D201" s="1"/>
    </row>
    <row r="202" spans="1:4" x14ac:dyDescent="0.25">
      <c r="A202" s="5" t="str">
        <f t="shared" si="3"/>
        <v/>
      </c>
      <c r="C202" s="1"/>
      <c r="D202" s="1"/>
    </row>
    <row r="203" spans="1:4" x14ac:dyDescent="0.25">
      <c r="A203" s="5" t="str">
        <f t="shared" si="3"/>
        <v/>
      </c>
      <c r="C203" s="1"/>
      <c r="D203" s="1"/>
    </row>
    <row r="204" spans="1:4" x14ac:dyDescent="0.25">
      <c r="A204" s="5" t="str">
        <f t="shared" si="3"/>
        <v/>
      </c>
      <c r="C204" s="1"/>
      <c r="D204" s="1"/>
    </row>
    <row r="205" spans="1:4" x14ac:dyDescent="0.25">
      <c r="A205" s="5" t="str">
        <f t="shared" si="3"/>
        <v/>
      </c>
      <c r="C205" s="1"/>
      <c r="D205" s="1"/>
    </row>
    <row r="206" spans="1:4" x14ac:dyDescent="0.25">
      <c r="A206" s="5" t="str">
        <f t="shared" si="3"/>
        <v/>
      </c>
      <c r="C206" s="1"/>
      <c r="D206" s="1"/>
    </row>
    <row r="207" spans="1:4" x14ac:dyDescent="0.25">
      <c r="A207" s="5" t="str">
        <f t="shared" si="3"/>
        <v/>
      </c>
      <c r="C207" s="1"/>
      <c r="D207" s="1"/>
    </row>
    <row r="208" spans="1:4" x14ac:dyDescent="0.25">
      <c r="A208" s="5" t="str">
        <f t="shared" si="3"/>
        <v/>
      </c>
      <c r="C208" s="1"/>
      <c r="D208" s="1"/>
    </row>
    <row r="209" spans="1:4" x14ac:dyDescent="0.25">
      <c r="A209" s="5" t="str">
        <f t="shared" si="3"/>
        <v/>
      </c>
      <c r="C209" s="1"/>
      <c r="D209" s="1"/>
    </row>
    <row r="210" spans="1:4" x14ac:dyDescent="0.25">
      <c r="A210" s="5" t="str">
        <f t="shared" si="3"/>
        <v/>
      </c>
      <c r="C210" s="1"/>
      <c r="D210" s="1"/>
    </row>
    <row r="211" spans="1:4" x14ac:dyDescent="0.25">
      <c r="A211" s="5" t="str">
        <f t="shared" si="3"/>
        <v/>
      </c>
      <c r="C211" s="1"/>
      <c r="D211" s="1"/>
    </row>
    <row r="212" spans="1:4" x14ac:dyDescent="0.25">
      <c r="A212" s="5" t="str">
        <f t="shared" si="3"/>
        <v/>
      </c>
      <c r="C212" s="1"/>
      <c r="D212" s="1"/>
    </row>
    <row r="213" spans="1:4" x14ac:dyDescent="0.25">
      <c r="A213" s="5" t="str">
        <f t="shared" si="3"/>
        <v/>
      </c>
      <c r="C213" s="1"/>
      <c r="D213" s="1"/>
    </row>
    <row r="214" spans="1:4" x14ac:dyDescent="0.25">
      <c r="A214" s="5" t="str">
        <f t="shared" si="3"/>
        <v/>
      </c>
      <c r="C214" s="1"/>
      <c r="D214" s="1"/>
    </row>
    <row r="215" spans="1:4" x14ac:dyDescent="0.25">
      <c r="A215" s="5" t="str">
        <f t="shared" si="3"/>
        <v/>
      </c>
      <c r="C215" s="1"/>
      <c r="D215" s="1"/>
    </row>
    <row r="216" spans="1:4" x14ac:dyDescent="0.25">
      <c r="A216" s="5" t="str">
        <f t="shared" si="3"/>
        <v/>
      </c>
      <c r="C216" s="1"/>
      <c r="D216" s="1"/>
    </row>
    <row r="217" spans="1:4" x14ac:dyDescent="0.25">
      <c r="A217" s="5" t="str">
        <f t="shared" si="3"/>
        <v/>
      </c>
      <c r="C217" s="1"/>
      <c r="D217" s="1"/>
    </row>
    <row r="218" spans="1:4" x14ac:dyDescent="0.25">
      <c r="A218" s="5" t="str">
        <f t="shared" si="3"/>
        <v/>
      </c>
      <c r="C218" s="1"/>
      <c r="D218" s="1"/>
    </row>
    <row r="219" spans="1:4" x14ac:dyDescent="0.25">
      <c r="A219" s="5" t="str">
        <f t="shared" si="3"/>
        <v/>
      </c>
      <c r="C219" s="1"/>
      <c r="D219" s="1"/>
    </row>
    <row r="220" spans="1:4" x14ac:dyDescent="0.25">
      <c r="A220" s="5" t="str">
        <f t="shared" si="3"/>
        <v/>
      </c>
      <c r="C220" s="1"/>
      <c r="D220" s="1"/>
    </row>
    <row r="221" spans="1:4" x14ac:dyDescent="0.25">
      <c r="A221" s="5" t="str">
        <f t="shared" si="3"/>
        <v/>
      </c>
      <c r="C221" s="1"/>
      <c r="D221" s="1"/>
    </row>
    <row r="222" spans="1:4" x14ac:dyDescent="0.25">
      <c r="A222" s="5" t="str">
        <f t="shared" si="3"/>
        <v/>
      </c>
      <c r="C222" s="1"/>
      <c r="D222" s="1"/>
    </row>
    <row r="223" spans="1:4" x14ac:dyDescent="0.25">
      <c r="A223" s="5" t="str">
        <f t="shared" si="3"/>
        <v/>
      </c>
      <c r="C223" s="1"/>
      <c r="D223" s="1"/>
    </row>
    <row r="224" spans="1:4" x14ac:dyDescent="0.25">
      <c r="A224" s="5" t="str">
        <f t="shared" si="3"/>
        <v/>
      </c>
      <c r="C224" s="1"/>
      <c r="D224" s="1"/>
    </row>
    <row r="225" spans="1:4" x14ac:dyDescent="0.25">
      <c r="A225" s="5" t="str">
        <f t="shared" si="3"/>
        <v/>
      </c>
      <c r="C225" s="1"/>
      <c r="D225" s="1"/>
    </row>
    <row r="226" spans="1:4" x14ac:dyDescent="0.25">
      <c r="A226" s="5" t="str">
        <f t="shared" si="3"/>
        <v/>
      </c>
      <c r="C226" s="1"/>
      <c r="D226" s="1"/>
    </row>
    <row r="227" spans="1:4" x14ac:dyDescent="0.25">
      <c r="A227" s="5" t="str">
        <f t="shared" si="3"/>
        <v/>
      </c>
      <c r="C227" s="1"/>
      <c r="D227" s="1"/>
    </row>
    <row r="228" spans="1:4" x14ac:dyDescent="0.25">
      <c r="A228" s="5" t="str">
        <f t="shared" si="3"/>
        <v/>
      </c>
      <c r="C228" s="1"/>
      <c r="D228" s="1"/>
    </row>
    <row r="229" spans="1:4" x14ac:dyDescent="0.25">
      <c r="A229" s="5" t="str">
        <f t="shared" si="3"/>
        <v/>
      </c>
      <c r="C229" s="1"/>
      <c r="D229" s="1"/>
    </row>
    <row r="230" spans="1:4" x14ac:dyDescent="0.25">
      <c r="A230" s="5" t="str">
        <f t="shared" si="3"/>
        <v/>
      </c>
      <c r="C230" s="1"/>
      <c r="D230" s="1"/>
    </row>
    <row r="231" spans="1:4" x14ac:dyDescent="0.25">
      <c r="A231" s="5" t="str">
        <f t="shared" si="3"/>
        <v/>
      </c>
      <c r="C231" s="1"/>
      <c r="D231" s="1"/>
    </row>
    <row r="232" spans="1:4" x14ac:dyDescent="0.25">
      <c r="A232" s="5" t="str">
        <f t="shared" si="3"/>
        <v/>
      </c>
      <c r="C232" s="1"/>
      <c r="D232" s="1"/>
    </row>
    <row r="233" spans="1:4" x14ac:dyDescent="0.25">
      <c r="A233" s="5" t="str">
        <f t="shared" si="3"/>
        <v/>
      </c>
      <c r="C233" s="1"/>
      <c r="D233" s="1"/>
    </row>
    <row r="234" spans="1:4" x14ac:dyDescent="0.25">
      <c r="A234" s="5" t="str">
        <f t="shared" si="3"/>
        <v/>
      </c>
      <c r="C234" s="1"/>
      <c r="D234" s="1"/>
    </row>
    <row r="235" spans="1:4" x14ac:dyDescent="0.25">
      <c r="A235" s="5" t="str">
        <f t="shared" si="3"/>
        <v/>
      </c>
      <c r="C235" s="1"/>
      <c r="D235" s="1"/>
    </row>
    <row r="236" spans="1:4" x14ac:dyDescent="0.25">
      <c r="A236" s="5" t="str">
        <f t="shared" si="3"/>
        <v/>
      </c>
      <c r="C236" s="1"/>
      <c r="D236" s="1"/>
    </row>
    <row r="237" spans="1:4" x14ac:dyDescent="0.25">
      <c r="A237" s="5" t="str">
        <f t="shared" si="3"/>
        <v/>
      </c>
      <c r="C237" s="1"/>
      <c r="D237" s="1"/>
    </row>
    <row r="238" spans="1:4" x14ac:dyDescent="0.25">
      <c r="A238" s="5" t="str">
        <f t="shared" si="3"/>
        <v/>
      </c>
      <c r="C238" s="1"/>
      <c r="D238" s="1"/>
    </row>
    <row r="239" spans="1:4" x14ac:dyDescent="0.25">
      <c r="A239" s="5" t="str">
        <f t="shared" si="3"/>
        <v/>
      </c>
      <c r="C239" s="1"/>
      <c r="D239" s="1"/>
    </row>
    <row r="240" spans="1:4" x14ac:dyDescent="0.25">
      <c r="A240" s="5" t="str">
        <f t="shared" si="3"/>
        <v/>
      </c>
      <c r="C240" s="1"/>
      <c r="D240" s="1"/>
    </row>
    <row r="241" spans="1:4" x14ac:dyDescent="0.25">
      <c r="A241" s="5" t="str">
        <f t="shared" si="3"/>
        <v/>
      </c>
      <c r="C241" s="1"/>
      <c r="D241" s="1"/>
    </row>
    <row r="242" spans="1:4" x14ac:dyDescent="0.25">
      <c r="A242" s="5" t="str">
        <f t="shared" si="3"/>
        <v/>
      </c>
      <c r="C242" s="1"/>
      <c r="D242" s="1"/>
    </row>
    <row r="243" spans="1:4" x14ac:dyDescent="0.25">
      <c r="A243" s="5" t="str">
        <f t="shared" si="3"/>
        <v/>
      </c>
      <c r="C243" s="1"/>
      <c r="D243" s="1"/>
    </row>
    <row r="244" spans="1:4" x14ac:dyDescent="0.25">
      <c r="A244" s="5" t="str">
        <f t="shared" si="3"/>
        <v/>
      </c>
      <c r="C244" s="1"/>
      <c r="D244" s="1"/>
    </row>
    <row r="245" spans="1:4" x14ac:dyDescent="0.25">
      <c r="A245" s="5" t="str">
        <f t="shared" si="3"/>
        <v/>
      </c>
      <c r="C245" s="1"/>
      <c r="D245" s="1"/>
    </row>
    <row r="246" spans="1:4" x14ac:dyDescent="0.25">
      <c r="A246" s="5" t="str">
        <f t="shared" si="3"/>
        <v/>
      </c>
      <c r="C246" s="1"/>
      <c r="D246" s="1"/>
    </row>
    <row r="247" spans="1:4" x14ac:dyDescent="0.25">
      <c r="A247" s="5" t="str">
        <f t="shared" si="3"/>
        <v/>
      </c>
      <c r="C247" s="1"/>
      <c r="D247" s="1"/>
    </row>
    <row r="248" spans="1:4" x14ac:dyDescent="0.25">
      <c r="A248" s="5" t="str">
        <f t="shared" si="3"/>
        <v/>
      </c>
      <c r="C248" s="1"/>
      <c r="D248" s="1"/>
    </row>
    <row r="249" spans="1:4" x14ac:dyDescent="0.25">
      <c r="A249" s="5" t="str">
        <f t="shared" si="3"/>
        <v/>
      </c>
      <c r="C249" s="1"/>
      <c r="D249" s="1"/>
    </row>
    <row r="250" spans="1:4" x14ac:dyDescent="0.25">
      <c r="A250" s="5" t="str">
        <f t="shared" si="3"/>
        <v/>
      </c>
      <c r="C250" s="1"/>
      <c r="D250" s="1"/>
    </row>
    <row r="251" spans="1:4" x14ac:dyDescent="0.25">
      <c r="A251" s="5" t="str">
        <f t="shared" si="3"/>
        <v/>
      </c>
      <c r="C251" s="1"/>
      <c r="D251" s="1"/>
    </row>
    <row r="252" spans="1:4" x14ac:dyDescent="0.25">
      <c r="A252" s="5" t="str">
        <f t="shared" si="3"/>
        <v/>
      </c>
      <c r="C252" s="1"/>
      <c r="D252" s="1"/>
    </row>
    <row r="253" spans="1:4" x14ac:dyDescent="0.25">
      <c r="A253" s="5" t="str">
        <f t="shared" si="3"/>
        <v/>
      </c>
      <c r="C253" s="1"/>
      <c r="D253" s="1"/>
    </row>
    <row r="254" spans="1:4" x14ac:dyDescent="0.25">
      <c r="A254" s="5" t="str">
        <f t="shared" si="3"/>
        <v/>
      </c>
      <c r="C254" s="1"/>
      <c r="D254" s="1"/>
    </row>
    <row r="255" spans="1:4" x14ac:dyDescent="0.25">
      <c r="A255" s="5" t="str">
        <f t="shared" si="3"/>
        <v/>
      </c>
      <c r="C255" s="1"/>
      <c r="D255" s="1"/>
    </row>
    <row r="256" spans="1:4" x14ac:dyDescent="0.25">
      <c r="A256" s="5" t="str">
        <f t="shared" si="3"/>
        <v/>
      </c>
      <c r="C256" s="1"/>
      <c r="D256" s="1"/>
    </row>
    <row r="257" spans="1:4" x14ac:dyDescent="0.25">
      <c r="A257" s="5" t="str">
        <f t="shared" si="3"/>
        <v/>
      </c>
      <c r="C257" s="1"/>
      <c r="D257" s="1"/>
    </row>
    <row r="258" spans="1:4" x14ac:dyDescent="0.25">
      <c r="A258" s="5" t="str">
        <f t="shared" si="3"/>
        <v/>
      </c>
      <c r="C258" s="1"/>
      <c r="D258" s="1"/>
    </row>
    <row r="259" spans="1:4" x14ac:dyDescent="0.25">
      <c r="A259" s="5" t="str">
        <f t="shared" si="3"/>
        <v/>
      </c>
      <c r="C259" s="1"/>
      <c r="D259" s="1"/>
    </row>
    <row r="260" spans="1:4" x14ac:dyDescent="0.25">
      <c r="A260" s="5" t="str">
        <f t="shared" si="3"/>
        <v/>
      </c>
      <c r="C260" s="1"/>
      <c r="D260" s="1"/>
    </row>
    <row r="261" spans="1:4" x14ac:dyDescent="0.25">
      <c r="A261" s="5" t="str">
        <f t="shared" si="3"/>
        <v/>
      </c>
      <c r="C261" s="1"/>
      <c r="D261" s="1"/>
    </row>
    <row r="262" spans="1:4" x14ac:dyDescent="0.25">
      <c r="A262" s="5" t="str">
        <f t="shared" si="3"/>
        <v/>
      </c>
      <c r="C262" s="1"/>
      <c r="D262" s="1"/>
    </row>
    <row r="263" spans="1:4" x14ac:dyDescent="0.25">
      <c r="A263" s="5" t="str">
        <f t="shared" ref="A263:A326" si="4">IF(B263="","",A262+1)</f>
        <v/>
      </c>
      <c r="C263" s="1"/>
      <c r="D263" s="1"/>
    </row>
    <row r="264" spans="1:4" x14ac:dyDescent="0.25">
      <c r="A264" s="5" t="str">
        <f t="shared" si="4"/>
        <v/>
      </c>
      <c r="C264" s="1"/>
      <c r="D264" s="1"/>
    </row>
    <row r="265" spans="1:4" x14ac:dyDescent="0.25">
      <c r="A265" s="5" t="str">
        <f t="shared" si="4"/>
        <v/>
      </c>
      <c r="C265" s="1"/>
      <c r="D265" s="1"/>
    </row>
    <row r="266" spans="1:4" x14ac:dyDescent="0.25">
      <c r="A266" s="5" t="str">
        <f t="shared" si="4"/>
        <v/>
      </c>
      <c r="C266" s="1"/>
      <c r="D266" s="1"/>
    </row>
    <row r="267" spans="1:4" x14ac:dyDescent="0.25">
      <c r="A267" s="5" t="str">
        <f t="shared" si="4"/>
        <v/>
      </c>
      <c r="C267" s="1"/>
      <c r="D267" s="1"/>
    </row>
    <row r="268" spans="1:4" x14ac:dyDescent="0.25">
      <c r="A268" s="5" t="str">
        <f t="shared" si="4"/>
        <v/>
      </c>
      <c r="C268" s="1"/>
      <c r="D268" s="1"/>
    </row>
    <row r="269" spans="1:4" x14ac:dyDescent="0.25">
      <c r="A269" s="5" t="str">
        <f t="shared" si="4"/>
        <v/>
      </c>
      <c r="C269" s="1"/>
      <c r="D269" s="1"/>
    </row>
    <row r="270" spans="1:4" x14ac:dyDescent="0.25">
      <c r="A270" s="5" t="str">
        <f t="shared" si="4"/>
        <v/>
      </c>
      <c r="C270" s="1"/>
      <c r="D270" s="1"/>
    </row>
    <row r="271" spans="1:4" x14ac:dyDescent="0.25">
      <c r="A271" s="5" t="str">
        <f t="shared" si="4"/>
        <v/>
      </c>
      <c r="C271" s="1"/>
      <c r="D271" s="1"/>
    </row>
    <row r="272" spans="1:4" x14ac:dyDescent="0.25">
      <c r="A272" s="5" t="str">
        <f t="shared" si="4"/>
        <v/>
      </c>
      <c r="C272" s="1"/>
      <c r="D272" s="1"/>
    </row>
    <row r="273" spans="1:4" x14ac:dyDescent="0.25">
      <c r="A273" s="5" t="str">
        <f t="shared" si="4"/>
        <v/>
      </c>
      <c r="C273" s="1"/>
      <c r="D273" s="1"/>
    </row>
    <row r="274" spans="1:4" x14ac:dyDescent="0.25">
      <c r="A274" s="5" t="str">
        <f t="shared" si="4"/>
        <v/>
      </c>
      <c r="C274" s="1"/>
      <c r="D274" s="1"/>
    </row>
    <row r="275" spans="1:4" x14ac:dyDescent="0.25">
      <c r="A275" s="5" t="str">
        <f t="shared" si="4"/>
        <v/>
      </c>
      <c r="C275" s="1"/>
      <c r="D275" s="1"/>
    </row>
    <row r="276" spans="1:4" x14ac:dyDescent="0.25">
      <c r="A276" s="5" t="str">
        <f t="shared" si="4"/>
        <v/>
      </c>
      <c r="C276" s="1"/>
      <c r="D276" s="1"/>
    </row>
    <row r="277" spans="1:4" x14ac:dyDescent="0.25">
      <c r="A277" s="5" t="str">
        <f t="shared" si="4"/>
        <v/>
      </c>
      <c r="C277" s="1"/>
      <c r="D277" s="1"/>
    </row>
    <row r="278" spans="1:4" x14ac:dyDescent="0.25">
      <c r="A278" s="5" t="str">
        <f t="shared" si="4"/>
        <v/>
      </c>
      <c r="C278" s="1"/>
      <c r="D278" s="1"/>
    </row>
    <row r="279" spans="1:4" x14ac:dyDescent="0.25">
      <c r="A279" s="5" t="str">
        <f t="shared" si="4"/>
        <v/>
      </c>
      <c r="C279" s="1"/>
      <c r="D279" s="1"/>
    </row>
    <row r="280" spans="1:4" x14ac:dyDescent="0.25">
      <c r="A280" s="5" t="str">
        <f t="shared" si="4"/>
        <v/>
      </c>
      <c r="C280" s="1"/>
      <c r="D280" s="1"/>
    </row>
    <row r="281" spans="1:4" x14ac:dyDescent="0.25">
      <c r="A281" s="5" t="str">
        <f t="shared" si="4"/>
        <v/>
      </c>
      <c r="C281" s="1"/>
      <c r="D281" s="1"/>
    </row>
    <row r="282" spans="1:4" x14ac:dyDescent="0.25">
      <c r="A282" s="5" t="str">
        <f t="shared" si="4"/>
        <v/>
      </c>
      <c r="C282" s="1"/>
      <c r="D282" s="1"/>
    </row>
    <row r="283" spans="1:4" x14ac:dyDescent="0.25">
      <c r="A283" s="5" t="str">
        <f t="shared" si="4"/>
        <v/>
      </c>
      <c r="C283" s="1"/>
      <c r="D283" s="1"/>
    </row>
    <row r="284" spans="1:4" x14ac:dyDescent="0.25">
      <c r="A284" s="5" t="str">
        <f t="shared" si="4"/>
        <v/>
      </c>
      <c r="C284" s="1"/>
      <c r="D284" s="1"/>
    </row>
    <row r="285" spans="1:4" x14ac:dyDescent="0.25">
      <c r="A285" s="5" t="str">
        <f t="shared" si="4"/>
        <v/>
      </c>
      <c r="C285" s="1"/>
      <c r="D285" s="1"/>
    </row>
    <row r="286" spans="1:4" x14ac:dyDescent="0.25">
      <c r="A286" s="5" t="str">
        <f t="shared" si="4"/>
        <v/>
      </c>
      <c r="C286" s="1"/>
      <c r="D286" s="1"/>
    </row>
    <row r="287" spans="1:4" x14ac:dyDescent="0.25">
      <c r="A287" s="5" t="str">
        <f t="shared" si="4"/>
        <v/>
      </c>
      <c r="C287" s="1"/>
      <c r="D287" s="1"/>
    </row>
    <row r="288" spans="1:4" x14ac:dyDescent="0.25">
      <c r="A288" s="5" t="str">
        <f t="shared" si="4"/>
        <v/>
      </c>
      <c r="C288" s="1"/>
      <c r="D288" s="1"/>
    </row>
    <row r="289" spans="1:4" x14ac:dyDescent="0.25">
      <c r="A289" s="5" t="str">
        <f t="shared" si="4"/>
        <v/>
      </c>
      <c r="C289" s="1"/>
      <c r="D289" s="1"/>
    </row>
    <row r="290" spans="1:4" x14ac:dyDescent="0.25">
      <c r="A290" s="5" t="str">
        <f t="shared" si="4"/>
        <v/>
      </c>
      <c r="C290" s="1"/>
      <c r="D290" s="1"/>
    </row>
    <row r="291" spans="1:4" x14ac:dyDescent="0.25">
      <c r="A291" s="5" t="str">
        <f t="shared" si="4"/>
        <v/>
      </c>
      <c r="C291" s="1"/>
      <c r="D291" s="1"/>
    </row>
    <row r="292" spans="1:4" x14ac:dyDescent="0.25">
      <c r="A292" s="5" t="str">
        <f t="shared" si="4"/>
        <v/>
      </c>
      <c r="C292" s="1"/>
      <c r="D292" s="1"/>
    </row>
    <row r="293" spans="1:4" x14ac:dyDescent="0.25">
      <c r="A293" s="5" t="str">
        <f t="shared" si="4"/>
        <v/>
      </c>
      <c r="C293" s="1"/>
      <c r="D293" s="1"/>
    </row>
    <row r="294" spans="1:4" x14ac:dyDescent="0.25">
      <c r="A294" s="5" t="str">
        <f t="shared" si="4"/>
        <v/>
      </c>
      <c r="C294" s="1"/>
      <c r="D294" s="1"/>
    </row>
    <row r="295" spans="1:4" x14ac:dyDescent="0.25">
      <c r="A295" s="5" t="str">
        <f t="shared" si="4"/>
        <v/>
      </c>
      <c r="C295" s="1"/>
      <c r="D295" s="1"/>
    </row>
    <row r="296" spans="1:4" x14ac:dyDescent="0.25">
      <c r="A296" s="5" t="str">
        <f t="shared" si="4"/>
        <v/>
      </c>
      <c r="C296" s="1"/>
      <c r="D296" s="1"/>
    </row>
    <row r="297" spans="1:4" x14ac:dyDescent="0.25">
      <c r="A297" s="5" t="str">
        <f t="shared" si="4"/>
        <v/>
      </c>
      <c r="C297" s="1"/>
      <c r="D297" s="1"/>
    </row>
    <row r="298" spans="1:4" x14ac:dyDescent="0.25">
      <c r="A298" s="5" t="str">
        <f t="shared" si="4"/>
        <v/>
      </c>
      <c r="C298" s="1"/>
      <c r="D298" s="1"/>
    </row>
    <row r="299" spans="1:4" x14ac:dyDescent="0.25">
      <c r="A299" s="5" t="str">
        <f t="shared" si="4"/>
        <v/>
      </c>
      <c r="C299" s="1"/>
      <c r="D299" s="1"/>
    </row>
    <row r="300" spans="1:4" x14ac:dyDescent="0.25">
      <c r="A300" s="5" t="str">
        <f t="shared" si="4"/>
        <v/>
      </c>
      <c r="C300" s="1"/>
      <c r="D300" s="1"/>
    </row>
    <row r="301" spans="1:4" x14ac:dyDescent="0.25">
      <c r="A301" s="5" t="str">
        <f t="shared" si="4"/>
        <v/>
      </c>
      <c r="C301" s="1"/>
      <c r="D301" s="1"/>
    </row>
    <row r="302" spans="1:4" x14ac:dyDescent="0.25">
      <c r="A302" s="5" t="str">
        <f t="shared" si="4"/>
        <v/>
      </c>
      <c r="C302" s="1"/>
      <c r="D302" s="1"/>
    </row>
    <row r="303" spans="1:4" x14ac:dyDescent="0.25">
      <c r="A303" s="5" t="str">
        <f t="shared" si="4"/>
        <v/>
      </c>
      <c r="C303" s="1"/>
      <c r="D303" s="1"/>
    </row>
    <row r="304" spans="1:4" x14ac:dyDescent="0.25">
      <c r="A304" s="5" t="str">
        <f t="shared" si="4"/>
        <v/>
      </c>
      <c r="C304" s="1"/>
      <c r="D304" s="1"/>
    </row>
    <row r="305" spans="1:4" x14ac:dyDescent="0.25">
      <c r="A305" s="5" t="str">
        <f t="shared" si="4"/>
        <v/>
      </c>
      <c r="C305" s="1"/>
      <c r="D305" s="1"/>
    </row>
    <row r="306" spans="1:4" x14ac:dyDescent="0.25">
      <c r="A306" s="5" t="str">
        <f t="shared" si="4"/>
        <v/>
      </c>
      <c r="C306" s="1"/>
      <c r="D306" s="1"/>
    </row>
    <row r="307" spans="1:4" x14ac:dyDescent="0.25">
      <c r="A307" s="5" t="str">
        <f t="shared" si="4"/>
        <v/>
      </c>
      <c r="C307" s="1"/>
      <c r="D307" s="1"/>
    </row>
    <row r="308" spans="1:4" x14ac:dyDescent="0.25">
      <c r="A308" s="5" t="str">
        <f t="shared" si="4"/>
        <v/>
      </c>
      <c r="C308" s="1"/>
      <c r="D308" s="1"/>
    </row>
    <row r="309" spans="1:4" x14ac:dyDescent="0.25">
      <c r="A309" s="5" t="str">
        <f t="shared" si="4"/>
        <v/>
      </c>
      <c r="C309" s="1"/>
      <c r="D309" s="1"/>
    </row>
    <row r="310" spans="1:4" x14ac:dyDescent="0.25">
      <c r="A310" s="5" t="str">
        <f t="shared" si="4"/>
        <v/>
      </c>
      <c r="C310" s="1"/>
      <c r="D310" s="1"/>
    </row>
    <row r="311" spans="1:4" x14ac:dyDescent="0.25">
      <c r="A311" s="5" t="str">
        <f t="shared" si="4"/>
        <v/>
      </c>
      <c r="C311" s="1"/>
      <c r="D311" s="1"/>
    </row>
    <row r="312" spans="1:4" x14ac:dyDescent="0.25">
      <c r="A312" s="5" t="str">
        <f t="shared" si="4"/>
        <v/>
      </c>
      <c r="C312" s="1"/>
      <c r="D312" s="1"/>
    </row>
    <row r="313" spans="1:4" x14ac:dyDescent="0.25">
      <c r="A313" s="5" t="str">
        <f t="shared" si="4"/>
        <v/>
      </c>
      <c r="C313" s="1"/>
      <c r="D313" s="1"/>
    </row>
    <row r="314" spans="1:4" x14ac:dyDescent="0.25">
      <c r="A314" s="5" t="str">
        <f t="shared" si="4"/>
        <v/>
      </c>
      <c r="C314" s="1"/>
      <c r="D314" s="1"/>
    </row>
    <row r="315" spans="1:4" x14ac:dyDescent="0.25">
      <c r="A315" s="5" t="str">
        <f t="shared" si="4"/>
        <v/>
      </c>
      <c r="C315" s="1"/>
      <c r="D315" s="1"/>
    </row>
    <row r="316" spans="1:4" x14ac:dyDescent="0.25">
      <c r="A316" s="5" t="str">
        <f t="shared" si="4"/>
        <v/>
      </c>
      <c r="C316" s="1"/>
      <c r="D316" s="1"/>
    </row>
    <row r="317" spans="1:4" x14ac:dyDescent="0.25">
      <c r="A317" s="5" t="str">
        <f t="shared" si="4"/>
        <v/>
      </c>
      <c r="C317" s="1"/>
      <c r="D317" s="1"/>
    </row>
    <row r="318" spans="1:4" x14ac:dyDescent="0.25">
      <c r="A318" s="5" t="str">
        <f t="shared" si="4"/>
        <v/>
      </c>
      <c r="C318" s="1"/>
      <c r="D318" s="1"/>
    </row>
    <row r="319" spans="1:4" x14ac:dyDescent="0.25">
      <c r="A319" s="5" t="str">
        <f t="shared" si="4"/>
        <v/>
      </c>
      <c r="C319" s="1"/>
      <c r="D319" s="1"/>
    </row>
    <row r="320" spans="1:4" x14ac:dyDescent="0.25">
      <c r="A320" s="5" t="str">
        <f t="shared" si="4"/>
        <v/>
      </c>
      <c r="C320" s="1"/>
      <c r="D320" s="1"/>
    </row>
    <row r="321" spans="1:4" x14ac:dyDescent="0.25">
      <c r="A321" s="5" t="str">
        <f t="shared" si="4"/>
        <v/>
      </c>
      <c r="C321" s="1"/>
      <c r="D321" s="1"/>
    </row>
    <row r="322" spans="1:4" x14ac:dyDescent="0.25">
      <c r="A322" s="5" t="str">
        <f t="shared" si="4"/>
        <v/>
      </c>
      <c r="C322" s="1"/>
      <c r="D322" s="1"/>
    </row>
    <row r="323" spans="1:4" x14ac:dyDescent="0.25">
      <c r="A323" s="5" t="str">
        <f t="shared" si="4"/>
        <v/>
      </c>
      <c r="C323" s="1"/>
      <c r="D323" s="1"/>
    </row>
    <row r="324" spans="1:4" x14ac:dyDescent="0.25">
      <c r="A324" s="5" t="str">
        <f t="shared" si="4"/>
        <v/>
      </c>
      <c r="C324" s="1"/>
      <c r="D324" s="1"/>
    </row>
    <row r="325" spans="1:4" x14ac:dyDescent="0.25">
      <c r="A325" s="5" t="str">
        <f t="shared" si="4"/>
        <v/>
      </c>
      <c r="C325" s="1"/>
      <c r="D325" s="1"/>
    </row>
    <row r="326" spans="1:4" x14ac:dyDescent="0.25">
      <c r="A326" s="5" t="str">
        <f t="shared" si="4"/>
        <v/>
      </c>
      <c r="C326" s="1"/>
      <c r="D326" s="1"/>
    </row>
    <row r="327" spans="1:4" x14ac:dyDescent="0.25">
      <c r="A327" s="5" t="str">
        <f t="shared" ref="A327:A390" si="5">IF(B327="","",A326+1)</f>
        <v/>
      </c>
      <c r="C327" s="1"/>
      <c r="D327" s="1"/>
    </row>
    <row r="328" spans="1:4" x14ac:dyDescent="0.25">
      <c r="A328" s="5" t="str">
        <f t="shared" si="5"/>
        <v/>
      </c>
      <c r="C328" s="1"/>
      <c r="D328" s="1"/>
    </row>
    <row r="329" spans="1:4" x14ac:dyDescent="0.25">
      <c r="A329" s="5" t="str">
        <f t="shared" si="5"/>
        <v/>
      </c>
      <c r="C329" s="1"/>
      <c r="D329" s="1"/>
    </row>
    <row r="330" spans="1:4" x14ac:dyDescent="0.25">
      <c r="A330" s="5" t="str">
        <f t="shared" si="5"/>
        <v/>
      </c>
      <c r="C330" s="1"/>
      <c r="D330" s="1"/>
    </row>
    <row r="331" spans="1:4" x14ac:dyDescent="0.25">
      <c r="A331" s="5" t="str">
        <f t="shared" si="5"/>
        <v/>
      </c>
      <c r="C331" s="1"/>
      <c r="D331" s="1"/>
    </row>
    <row r="332" spans="1:4" x14ac:dyDescent="0.25">
      <c r="A332" s="5" t="str">
        <f t="shared" si="5"/>
        <v/>
      </c>
      <c r="C332" s="1"/>
      <c r="D332" s="1"/>
    </row>
    <row r="333" spans="1:4" x14ac:dyDescent="0.25">
      <c r="A333" s="5" t="str">
        <f t="shared" si="5"/>
        <v/>
      </c>
      <c r="C333" s="1"/>
      <c r="D333" s="1"/>
    </row>
    <row r="334" spans="1:4" x14ac:dyDescent="0.25">
      <c r="A334" s="5" t="str">
        <f t="shared" si="5"/>
        <v/>
      </c>
      <c r="C334" s="1"/>
      <c r="D334" s="1"/>
    </row>
    <row r="335" spans="1:4" x14ac:dyDescent="0.25">
      <c r="A335" s="5" t="str">
        <f t="shared" si="5"/>
        <v/>
      </c>
      <c r="C335" s="1"/>
      <c r="D335" s="1"/>
    </row>
    <row r="336" spans="1:4" x14ac:dyDescent="0.25">
      <c r="A336" s="5" t="str">
        <f t="shared" si="5"/>
        <v/>
      </c>
      <c r="C336" s="1"/>
      <c r="D336" s="1"/>
    </row>
    <row r="337" spans="1:4" x14ac:dyDescent="0.25">
      <c r="A337" s="5" t="str">
        <f t="shared" si="5"/>
        <v/>
      </c>
      <c r="C337" s="1"/>
      <c r="D337" s="1"/>
    </row>
    <row r="338" spans="1:4" x14ac:dyDescent="0.25">
      <c r="A338" s="5" t="str">
        <f t="shared" si="5"/>
        <v/>
      </c>
      <c r="C338" s="1"/>
      <c r="D338" s="1"/>
    </row>
    <row r="339" spans="1:4" x14ac:dyDescent="0.25">
      <c r="A339" s="5" t="str">
        <f t="shared" si="5"/>
        <v/>
      </c>
      <c r="C339" s="1"/>
      <c r="D339" s="1"/>
    </row>
    <row r="340" spans="1:4" x14ac:dyDescent="0.25">
      <c r="A340" s="5" t="str">
        <f t="shared" si="5"/>
        <v/>
      </c>
      <c r="C340" s="1"/>
      <c r="D340" s="1"/>
    </row>
    <row r="341" spans="1:4" x14ac:dyDescent="0.25">
      <c r="A341" s="5" t="str">
        <f t="shared" si="5"/>
        <v/>
      </c>
      <c r="C341" s="1"/>
      <c r="D341" s="1"/>
    </row>
    <row r="342" spans="1:4" x14ac:dyDescent="0.25">
      <c r="A342" s="5" t="str">
        <f t="shared" si="5"/>
        <v/>
      </c>
      <c r="C342" s="1"/>
      <c r="D342" s="1"/>
    </row>
    <row r="343" spans="1:4" x14ac:dyDescent="0.25">
      <c r="A343" s="5" t="str">
        <f t="shared" si="5"/>
        <v/>
      </c>
      <c r="C343" s="1"/>
      <c r="D343" s="1"/>
    </row>
    <row r="344" spans="1:4" x14ac:dyDescent="0.25">
      <c r="A344" s="5" t="str">
        <f t="shared" si="5"/>
        <v/>
      </c>
      <c r="C344" s="1"/>
      <c r="D344" s="1"/>
    </row>
    <row r="345" spans="1:4" x14ac:dyDescent="0.25">
      <c r="A345" s="5" t="str">
        <f t="shared" si="5"/>
        <v/>
      </c>
      <c r="C345" s="1"/>
      <c r="D345" s="1"/>
    </row>
    <row r="346" spans="1:4" x14ac:dyDescent="0.25">
      <c r="A346" s="5" t="str">
        <f t="shared" si="5"/>
        <v/>
      </c>
      <c r="C346" s="1"/>
      <c r="D346" s="1"/>
    </row>
    <row r="347" spans="1:4" x14ac:dyDescent="0.25">
      <c r="A347" s="5" t="str">
        <f t="shared" si="5"/>
        <v/>
      </c>
      <c r="C347" s="1"/>
      <c r="D347" s="1"/>
    </row>
    <row r="348" spans="1:4" x14ac:dyDescent="0.25">
      <c r="A348" s="5" t="str">
        <f t="shared" si="5"/>
        <v/>
      </c>
      <c r="C348" s="1"/>
      <c r="D348" s="1"/>
    </row>
    <row r="349" spans="1:4" x14ac:dyDescent="0.25">
      <c r="A349" s="5" t="str">
        <f t="shared" si="5"/>
        <v/>
      </c>
      <c r="C349" s="1"/>
      <c r="D349" s="1"/>
    </row>
    <row r="350" spans="1:4" x14ac:dyDescent="0.25">
      <c r="A350" s="5" t="str">
        <f t="shared" si="5"/>
        <v/>
      </c>
      <c r="C350" s="1"/>
      <c r="D350" s="1"/>
    </row>
    <row r="351" spans="1:4" x14ac:dyDescent="0.25">
      <c r="A351" s="5" t="str">
        <f t="shared" si="5"/>
        <v/>
      </c>
      <c r="C351" s="1"/>
      <c r="D351" s="1"/>
    </row>
    <row r="352" spans="1:4" x14ac:dyDescent="0.25">
      <c r="A352" s="5" t="str">
        <f t="shared" si="5"/>
        <v/>
      </c>
      <c r="C352" s="1"/>
      <c r="D352" s="1"/>
    </row>
    <row r="353" spans="1:4" x14ac:dyDescent="0.25">
      <c r="A353" s="5" t="str">
        <f t="shared" si="5"/>
        <v/>
      </c>
      <c r="C353" s="1"/>
      <c r="D353" s="1"/>
    </row>
    <row r="354" spans="1:4" x14ac:dyDescent="0.25">
      <c r="A354" s="5" t="str">
        <f t="shared" si="5"/>
        <v/>
      </c>
      <c r="C354" s="1"/>
      <c r="D354" s="1"/>
    </row>
    <row r="355" spans="1:4" x14ac:dyDescent="0.25">
      <c r="A355" s="5" t="str">
        <f t="shared" si="5"/>
        <v/>
      </c>
      <c r="C355" s="1"/>
      <c r="D355" s="1"/>
    </row>
    <row r="356" spans="1:4" x14ac:dyDescent="0.25">
      <c r="A356" s="5" t="str">
        <f t="shared" si="5"/>
        <v/>
      </c>
      <c r="C356" s="1"/>
      <c r="D356" s="1"/>
    </row>
    <row r="357" spans="1:4" x14ac:dyDescent="0.25">
      <c r="A357" s="5" t="str">
        <f t="shared" si="5"/>
        <v/>
      </c>
      <c r="C357" s="1"/>
      <c r="D357" s="1"/>
    </row>
    <row r="358" spans="1:4" x14ac:dyDescent="0.25">
      <c r="A358" s="5" t="str">
        <f t="shared" si="5"/>
        <v/>
      </c>
      <c r="C358" s="1"/>
      <c r="D358" s="1"/>
    </row>
    <row r="359" spans="1:4" x14ac:dyDescent="0.25">
      <c r="A359" s="5" t="str">
        <f t="shared" si="5"/>
        <v/>
      </c>
      <c r="C359" s="1"/>
      <c r="D359" s="1"/>
    </row>
    <row r="360" spans="1:4" x14ac:dyDescent="0.25">
      <c r="A360" s="5" t="str">
        <f t="shared" si="5"/>
        <v/>
      </c>
      <c r="C360" s="1"/>
      <c r="D360" s="1"/>
    </row>
    <row r="361" spans="1:4" x14ac:dyDescent="0.25">
      <c r="A361" s="5" t="str">
        <f t="shared" si="5"/>
        <v/>
      </c>
      <c r="C361" s="1"/>
      <c r="D361" s="1"/>
    </row>
    <row r="362" spans="1:4" x14ac:dyDescent="0.25">
      <c r="A362" s="5" t="str">
        <f t="shared" si="5"/>
        <v/>
      </c>
      <c r="C362" s="1"/>
      <c r="D362" s="1"/>
    </row>
    <row r="363" spans="1:4" x14ac:dyDescent="0.25">
      <c r="A363" s="5" t="str">
        <f t="shared" si="5"/>
        <v/>
      </c>
      <c r="C363" s="1"/>
      <c r="D363" s="1"/>
    </row>
    <row r="364" spans="1:4" x14ac:dyDescent="0.25">
      <c r="A364" s="5" t="str">
        <f t="shared" si="5"/>
        <v/>
      </c>
      <c r="C364" s="1"/>
      <c r="D364" s="1"/>
    </row>
    <row r="365" spans="1:4" x14ac:dyDescent="0.25">
      <c r="A365" s="5" t="str">
        <f t="shared" si="5"/>
        <v/>
      </c>
      <c r="C365" s="1"/>
      <c r="D365" s="1"/>
    </row>
    <row r="366" spans="1:4" x14ac:dyDescent="0.25">
      <c r="A366" s="5" t="str">
        <f t="shared" si="5"/>
        <v/>
      </c>
      <c r="C366" s="1"/>
      <c r="D366" s="1"/>
    </row>
    <row r="367" spans="1:4" x14ac:dyDescent="0.25">
      <c r="A367" s="5" t="str">
        <f t="shared" si="5"/>
        <v/>
      </c>
      <c r="C367" s="1"/>
      <c r="D367" s="1"/>
    </row>
    <row r="368" spans="1:4" x14ac:dyDescent="0.25">
      <c r="A368" s="5" t="str">
        <f t="shared" si="5"/>
        <v/>
      </c>
      <c r="C368" s="1"/>
      <c r="D368" s="1"/>
    </row>
    <row r="369" spans="1:4" x14ac:dyDescent="0.25">
      <c r="A369" s="5" t="str">
        <f t="shared" si="5"/>
        <v/>
      </c>
      <c r="C369" s="1"/>
      <c r="D369" s="1"/>
    </row>
    <row r="370" spans="1:4" x14ac:dyDescent="0.25">
      <c r="A370" s="5" t="str">
        <f t="shared" si="5"/>
        <v/>
      </c>
      <c r="C370" s="1"/>
      <c r="D370" s="1"/>
    </row>
    <row r="371" spans="1:4" x14ac:dyDescent="0.25">
      <c r="A371" s="5" t="str">
        <f t="shared" si="5"/>
        <v/>
      </c>
      <c r="C371" s="1"/>
      <c r="D371" s="1"/>
    </row>
    <row r="372" spans="1:4" x14ac:dyDescent="0.25">
      <c r="A372" s="5" t="str">
        <f t="shared" si="5"/>
        <v/>
      </c>
      <c r="C372" s="1"/>
      <c r="D372" s="1"/>
    </row>
    <row r="373" spans="1:4" x14ac:dyDescent="0.25">
      <c r="A373" s="5" t="str">
        <f t="shared" si="5"/>
        <v/>
      </c>
      <c r="C373" s="1"/>
      <c r="D373" s="1"/>
    </row>
    <row r="374" spans="1:4" x14ac:dyDescent="0.25">
      <c r="A374" s="5" t="str">
        <f t="shared" si="5"/>
        <v/>
      </c>
      <c r="C374" s="1"/>
      <c r="D374" s="1"/>
    </row>
    <row r="375" spans="1:4" x14ac:dyDescent="0.25">
      <c r="A375" s="5" t="str">
        <f t="shared" si="5"/>
        <v/>
      </c>
      <c r="C375" s="1"/>
      <c r="D375" s="1"/>
    </row>
    <row r="376" spans="1:4" x14ac:dyDescent="0.25">
      <c r="A376" s="5" t="str">
        <f t="shared" si="5"/>
        <v/>
      </c>
      <c r="C376" s="1"/>
      <c r="D376" s="1"/>
    </row>
    <row r="377" spans="1:4" x14ac:dyDescent="0.25">
      <c r="A377" s="5" t="str">
        <f t="shared" si="5"/>
        <v/>
      </c>
      <c r="C377" s="1"/>
      <c r="D377" s="1"/>
    </row>
    <row r="378" spans="1:4" x14ac:dyDescent="0.25">
      <c r="A378" s="5" t="str">
        <f t="shared" si="5"/>
        <v/>
      </c>
      <c r="C378" s="1"/>
      <c r="D378" s="1"/>
    </row>
    <row r="379" spans="1:4" x14ac:dyDescent="0.25">
      <c r="A379" s="5" t="str">
        <f t="shared" si="5"/>
        <v/>
      </c>
      <c r="C379" s="1"/>
      <c r="D379" s="1"/>
    </row>
    <row r="380" spans="1:4" x14ac:dyDescent="0.25">
      <c r="A380" s="5" t="str">
        <f t="shared" si="5"/>
        <v/>
      </c>
      <c r="C380" s="1"/>
      <c r="D380" s="1"/>
    </row>
    <row r="381" spans="1:4" x14ac:dyDescent="0.25">
      <c r="A381" s="5" t="str">
        <f t="shared" si="5"/>
        <v/>
      </c>
      <c r="C381" s="1"/>
      <c r="D381" s="1"/>
    </row>
    <row r="382" spans="1:4" x14ac:dyDescent="0.25">
      <c r="A382" s="5" t="str">
        <f t="shared" si="5"/>
        <v/>
      </c>
      <c r="C382" s="1"/>
      <c r="D382" s="1"/>
    </row>
    <row r="383" spans="1:4" x14ac:dyDescent="0.25">
      <c r="A383" s="5" t="str">
        <f t="shared" si="5"/>
        <v/>
      </c>
      <c r="C383" s="1"/>
      <c r="D383" s="1"/>
    </row>
    <row r="384" spans="1:4" x14ac:dyDescent="0.25">
      <c r="A384" s="5" t="str">
        <f t="shared" si="5"/>
        <v/>
      </c>
      <c r="C384" s="1"/>
      <c r="D384" s="1"/>
    </row>
    <row r="385" spans="1:4" x14ac:dyDescent="0.25">
      <c r="A385" s="5" t="str">
        <f t="shared" si="5"/>
        <v/>
      </c>
      <c r="C385" s="1"/>
      <c r="D385" s="1"/>
    </row>
    <row r="386" spans="1:4" x14ac:dyDescent="0.25">
      <c r="A386" s="5" t="str">
        <f t="shared" si="5"/>
        <v/>
      </c>
      <c r="C386" s="1"/>
      <c r="D386" s="1"/>
    </row>
    <row r="387" spans="1:4" x14ac:dyDescent="0.25">
      <c r="A387" s="5" t="str">
        <f t="shared" si="5"/>
        <v/>
      </c>
      <c r="C387" s="1"/>
      <c r="D387" s="1"/>
    </row>
    <row r="388" spans="1:4" x14ac:dyDescent="0.25">
      <c r="A388" s="5" t="str">
        <f t="shared" si="5"/>
        <v/>
      </c>
      <c r="C388" s="1"/>
      <c r="D388" s="1"/>
    </row>
    <row r="389" spans="1:4" x14ac:dyDescent="0.25">
      <c r="A389" s="5" t="str">
        <f t="shared" si="5"/>
        <v/>
      </c>
      <c r="C389" s="1"/>
      <c r="D389" s="1"/>
    </row>
    <row r="390" spans="1:4" x14ac:dyDescent="0.25">
      <c r="A390" s="5" t="str">
        <f t="shared" si="5"/>
        <v/>
      </c>
      <c r="C390" s="1"/>
      <c r="D390" s="1"/>
    </row>
    <row r="391" spans="1:4" x14ac:dyDescent="0.25">
      <c r="A391" s="5" t="str">
        <f t="shared" ref="A391:A454" si="6">IF(B391="","",A390+1)</f>
        <v/>
      </c>
      <c r="C391" s="1"/>
      <c r="D391" s="1"/>
    </row>
    <row r="392" spans="1:4" x14ac:dyDescent="0.25">
      <c r="A392" s="5" t="str">
        <f t="shared" si="6"/>
        <v/>
      </c>
      <c r="C392" s="1"/>
      <c r="D392" s="1"/>
    </row>
    <row r="393" spans="1:4" x14ac:dyDescent="0.25">
      <c r="A393" s="5" t="str">
        <f t="shared" si="6"/>
        <v/>
      </c>
      <c r="C393" s="1"/>
      <c r="D393" s="1"/>
    </row>
    <row r="394" spans="1:4" x14ac:dyDescent="0.25">
      <c r="A394" s="5" t="str">
        <f t="shared" si="6"/>
        <v/>
      </c>
      <c r="C394" s="1"/>
      <c r="D394" s="1"/>
    </row>
    <row r="395" spans="1:4" x14ac:dyDescent="0.25">
      <c r="A395" s="5" t="str">
        <f t="shared" si="6"/>
        <v/>
      </c>
      <c r="C395" s="1"/>
      <c r="D395" s="1"/>
    </row>
    <row r="396" spans="1:4" x14ac:dyDescent="0.25">
      <c r="A396" s="5" t="str">
        <f t="shared" si="6"/>
        <v/>
      </c>
      <c r="C396" s="1"/>
      <c r="D396" s="1"/>
    </row>
    <row r="397" spans="1:4" x14ac:dyDescent="0.25">
      <c r="A397" s="5" t="str">
        <f t="shared" si="6"/>
        <v/>
      </c>
      <c r="C397" s="1"/>
      <c r="D397" s="1"/>
    </row>
    <row r="398" spans="1:4" x14ac:dyDescent="0.25">
      <c r="A398" s="5" t="str">
        <f t="shared" si="6"/>
        <v/>
      </c>
      <c r="C398" s="1"/>
      <c r="D398" s="1"/>
    </row>
    <row r="399" spans="1:4" x14ac:dyDescent="0.25">
      <c r="A399" s="5" t="str">
        <f t="shared" si="6"/>
        <v/>
      </c>
      <c r="C399" s="1"/>
      <c r="D399" s="1"/>
    </row>
    <row r="400" spans="1:4" x14ac:dyDescent="0.25">
      <c r="A400" s="5" t="str">
        <f t="shared" si="6"/>
        <v/>
      </c>
      <c r="C400" s="1"/>
      <c r="D400" s="1"/>
    </row>
    <row r="401" spans="1:4" x14ac:dyDescent="0.25">
      <c r="A401" s="5" t="str">
        <f t="shared" si="6"/>
        <v/>
      </c>
      <c r="C401" s="1"/>
      <c r="D401" s="1"/>
    </row>
    <row r="402" spans="1:4" x14ac:dyDescent="0.25">
      <c r="A402" s="5" t="str">
        <f t="shared" si="6"/>
        <v/>
      </c>
      <c r="C402" s="1"/>
      <c r="D402" s="1"/>
    </row>
    <row r="403" spans="1:4" x14ac:dyDescent="0.25">
      <c r="A403" s="5" t="str">
        <f t="shared" si="6"/>
        <v/>
      </c>
      <c r="C403" s="1"/>
      <c r="D403" s="1"/>
    </row>
    <row r="404" spans="1:4" x14ac:dyDescent="0.25">
      <c r="A404" s="5" t="str">
        <f t="shared" si="6"/>
        <v/>
      </c>
      <c r="C404" s="1"/>
      <c r="D404" s="1"/>
    </row>
    <row r="405" spans="1:4" x14ac:dyDescent="0.25">
      <c r="A405" s="5" t="str">
        <f t="shared" si="6"/>
        <v/>
      </c>
      <c r="C405" s="1"/>
      <c r="D405" s="1"/>
    </row>
    <row r="406" spans="1:4" x14ac:dyDescent="0.25">
      <c r="A406" s="5" t="str">
        <f t="shared" si="6"/>
        <v/>
      </c>
      <c r="C406" s="1"/>
      <c r="D406" s="1"/>
    </row>
    <row r="407" spans="1:4" x14ac:dyDescent="0.25">
      <c r="A407" s="5" t="str">
        <f t="shared" si="6"/>
        <v/>
      </c>
      <c r="C407" s="1"/>
      <c r="D407" s="1"/>
    </row>
    <row r="408" spans="1:4" x14ac:dyDescent="0.25">
      <c r="A408" s="5" t="str">
        <f t="shared" si="6"/>
        <v/>
      </c>
      <c r="C408" s="1"/>
      <c r="D408" s="1"/>
    </row>
    <row r="409" spans="1:4" x14ac:dyDescent="0.25">
      <c r="A409" s="5" t="str">
        <f t="shared" si="6"/>
        <v/>
      </c>
      <c r="C409" s="1"/>
      <c r="D409" s="1"/>
    </row>
    <row r="410" spans="1:4" x14ac:dyDescent="0.25">
      <c r="A410" s="5" t="str">
        <f t="shared" si="6"/>
        <v/>
      </c>
      <c r="C410" s="1"/>
      <c r="D410" s="1"/>
    </row>
    <row r="411" spans="1:4" x14ac:dyDescent="0.25">
      <c r="A411" s="5" t="str">
        <f t="shared" si="6"/>
        <v/>
      </c>
      <c r="C411" s="1"/>
      <c r="D411" s="1"/>
    </row>
    <row r="412" spans="1:4" x14ac:dyDescent="0.25">
      <c r="A412" s="5" t="str">
        <f t="shared" si="6"/>
        <v/>
      </c>
      <c r="C412" s="1"/>
      <c r="D412" s="1"/>
    </row>
    <row r="413" spans="1:4" x14ac:dyDescent="0.25">
      <c r="A413" s="5" t="str">
        <f t="shared" si="6"/>
        <v/>
      </c>
      <c r="C413" s="1"/>
      <c r="D413" s="1"/>
    </row>
    <row r="414" spans="1:4" x14ac:dyDescent="0.25">
      <c r="A414" s="5" t="str">
        <f t="shared" si="6"/>
        <v/>
      </c>
      <c r="C414" s="1"/>
      <c r="D414" s="1"/>
    </row>
    <row r="415" spans="1:4" x14ac:dyDescent="0.25">
      <c r="A415" s="5" t="str">
        <f t="shared" si="6"/>
        <v/>
      </c>
      <c r="C415" s="1"/>
      <c r="D415" s="1"/>
    </row>
    <row r="416" spans="1:4" x14ac:dyDescent="0.25">
      <c r="A416" s="5" t="str">
        <f t="shared" si="6"/>
        <v/>
      </c>
      <c r="C416" s="1"/>
      <c r="D416" s="1"/>
    </row>
    <row r="417" spans="1:4" x14ac:dyDescent="0.25">
      <c r="A417" s="5" t="str">
        <f t="shared" si="6"/>
        <v/>
      </c>
      <c r="C417" s="1"/>
      <c r="D417" s="1"/>
    </row>
    <row r="418" spans="1:4" x14ac:dyDescent="0.25">
      <c r="A418" s="5" t="str">
        <f t="shared" si="6"/>
        <v/>
      </c>
      <c r="C418" s="1"/>
      <c r="D418" s="1"/>
    </row>
    <row r="419" spans="1:4" x14ac:dyDescent="0.25">
      <c r="A419" s="5" t="str">
        <f t="shared" si="6"/>
        <v/>
      </c>
      <c r="C419" s="1"/>
      <c r="D419" s="1"/>
    </row>
    <row r="420" spans="1:4" x14ac:dyDescent="0.25">
      <c r="A420" s="5" t="str">
        <f t="shared" si="6"/>
        <v/>
      </c>
      <c r="C420" s="1"/>
      <c r="D420" s="1"/>
    </row>
    <row r="421" spans="1:4" x14ac:dyDescent="0.25">
      <c r="A421" s="5" t="str">
        <f t="shared" si="6"/>
        <v/>
      </c>
      <c r="C421" s="1"/>
      <c r="D421" s="1"/>
    </row>
    <row r="422" spans="1:4" x14ac:dyDescent="0.25">
      <c r="A422" s="5" t="str">
        <f t="shared" si="6"/>
        <v/>
      </c>
      <c r="C422" s="1"/>
      <c r="D422" s="1"/>
    </row>
    <row r="423" spans="1:4" x14ac:dyDescent="0.25">
      <c r="A423" s="5" t="str">
        <f t="shared" si="6"/>
        <v/>
      </c>
      <c r="C423" s="1"/>
      <c r="D423" s="1"/>
    </row>
    <row r="424" spans="1:4" x14ac:dyDescent="0.25">
      <c r="A424" s="5" t="str">
        <f t="shared" si="6"/>
        <v/>
      </c>
      <c r="C424" s="1"/>
      <c r="D424" s="1"/>
    </row>
    <row r="425" spans="1:4" x14ac:dyDescent="0.25">
      <c r="A425" s="5" t="str">
        <f t="shared" si="6"/>
        <v/>
      </c>
      <c r="C425" s="1"/>
      <c r="D425" s="1"/>
    </row>
    <row r="426" spans="1:4" x14ac:dyDescent="0.25">
      <c r="A426" s="5" t="str">
        <f t="shared" si="6"/>
        <v/>
      </c>
      <c r="C426" s="1"/>
      <c r="D426" s="1"/>
    </row>
    <row r="427" spans="1:4" x14ac:dyDescent="0.25">
      <c r="A427" s="5" t="str">
        <f t="shared" si="6"/>
        <v/>
      </c>
      <c r="C427" s="1"/>
      <c r="D427" s="1"/>
    </row>
    <row r="428" spans="1:4" x14ac:dyDescent="0.25">
      <c r="A428" s="5" t="str">
        <f t="shared" si="6"/>
        <v/>
      </c>
      <c r="C428" s="1"/>
      <c r="D428" s="1"/>
    </row>
    <row r="429" spans="1:4" x14ac:dyDescent="0.25">
      <c r="A429" s="5" t="str">
        <f t="shared" si="6"/>
        <v/>
      </c>
      <c r="C429" s="1"/>
      <c r="D429" s="1"/>
    </row>
    <row r="430" spans="1:4" x14ac:dyDescent="0.25">
      <c r="A430" s="5" t="str">
        <f t="shared" si="6"/>
        <v/>
      </c>
      <c r="C430" s="1"/>
      <c r="D430" s="1"/>
    </row>
    <row r="431" spans="1:4" x14ac:dyDescent="0.25">
      <c r="A431" s="5" t="str">
        <f t="shared" si="6"/>
        <v/>
      </c>
      <c r="C431" s="1"/>
      <c r="D431" s="1"/>
    </row>
    <row r="432" spans="1:4" x14ac:dyDescent="0.25">
      <c r="A432" s="5" t="str">
        <f t="shared" si="6"/>
        <v/>
      </c>
      <c r="C432" s="1"/>
      <c r="D432" s="1"/>
    </row>
    <row r="433" spans="1:4" x14ac:dyDescent="0.25">
      <c r="A433" s="5" t="str">
        <f t="shared" si="6"/>
        <v/>
      </c>
      <c r="C433" s="1"/>
      <c r="D433" s="1"/>
    </row>
    <row r="434" spans="1:4" x14ac:dyDescent="0.25">
      <c r="A434" s="5" t="str">
        <f t="shared" si="6"/>
        <v/>
      </c>
      <c r="C434" s="1"/>
      <c r="D434" s="1"/>
    </row>
    <row r="435" spans="1:4" x14ac:dyDescent="0.25">
      <c r="A435" s="5" t="str">
        <f t="shared" si="6"/>
        <v/>
      </c>
      <c r="C435" s="1"/>
      <c r="D435" s="1"/>
    </row>
    <row r="436" spans="1:4" x14ac:dyDescent="0.25">
      <c r="A436" s="5" t="str">
        <f t="shared" si="6"/>
        <v/>
      </c>
      <c r="C436" s="1"/>
      <c r="D436" s="1"/>
    </row>
    <row r="437" spans="1:4" x14ac:dyDescent="0.25">
      <c r="A437" s="5" t="str">
        <f t="shared" si="6"/>
        <v/>
      </c>
      <c r="C437" s="1"/>
      <c r="D437" s="1"/>
    </row>
    <row r="438" spans="1:4" x14ac:dyDescent="0.25">
      <c r="A438" s="5" t="str">
        <f t="shared" si="6"/>
        <v/>
      </c>
      <c r="C438" s="1"/>
      <c r="D438" s="1"/>
    </row>
    <row r="439" spans="1:4" x14ac:dyDescent="0.25">
      <c r="A439" s="5" t="str">
        <f t="shared" si="6"/>
        <v/>
      </c>
      <c r="C439" s="1"/>
      <c r="D439" s="1"/>
    </row>
    <row r="440" spans="1:4" x14ac:dyDescent="0.25">
      <c r="A440" s="5" t="str">
        <f t="shared" si="6"/>
        <v/>
      </c>
      <c r="C440" s="1"/>
      <c r="D440" s="1"/>
    </row>
    <row r="441" spans="1:4" x14ac:dyDescent="0.25">
      <c r="A441" s="5" t="str">
        <f t="shared" si="6"/>
        <v/>
      </c>
      <c r="C441" s="1"/>
      <c r="D441" s="1"/>
    </row>
    <row r="442" spans="1:4" x14ac:dyDescent="0.25">
      <c r="A442" s="5" t="str">
        <f t="shared" si="6"/>
        <v/>
      </c>
      <c r="C442" s="1"/>
      <c r="D442" s="1"/>
    </row>
    <row r="443" spans="1:4" x14ac:dyDescent="0.25">
      <c r="A443" s="5" t="str">
        <f t="shared" si="6"/>
        <v/>
      </c>
      <c r="C443" s="1"/>
      <c r="D443" s="1"/>
    </row>
    <row r="444" spans="1:4" x14ac:dyDescent="0.25">
      <c r="A444" s="5" t="str">
        <f t="shared" si="6"/>
        <v/>
      </c>
      <c r="C444" s="1"/>
      <c r="D444" s="1"/>
    </row>
    <row r="445" spans="1:4" x14ac:dyDescent="0.25">
      <c r="A445" s="5" t="str">
        <f t="shared" si="6"/>
        <v/>
      </c>
      <c r="C445" s="1"/>
      <c r="D445" s="1"/>
    </row>
    <row r="446" spans="1:4" x14ac:dyDescent="0.25">
      <c r="A446" s="5" t="str">
        <f t="shared" si="6"/>
        <v/>
      </c>
      <c r="C446" s="1"/>
      <c r="D446" s="1"/>
    </row>
    <row r="447" spans="1:4" x14ac:dyDescent="0.25">
      <c r="A447" s="5" t="str">
        <f t="shared" si="6"/>
        <v/>
      </c>
      <c r="C447" s="1"/>
      <c r="D447" s="1"/>
    </row>
    <row r="448" spans="1:4" x14ac:dyDescent="0.25">
      <c r="A448" s="5" t="str">
        <f t="shared" si="6"/>
        <v/>
      </c>
      <c r="C448" s="1"/>
      <c r="D448" s="1"/>
    </row>
    <row r="449" spans="1:4" x14ac:dyDescent="0.25">
      <c r="A449" s="5" t="str">
        <f t="shared" si="6"/>
        <v/>
      </c>
      <c r="C449" s="1"/>
      <c r="D449" s="1"/>
    </row>
    <row r="450" spans="1:4" x14ac:dyDescent="0.25">
      <c r="A450" s="5" t="str">
        <f t="shared" si="6"/>
        <v/>
      </c>
      <c r="C450" s="1"/>
      <c r="D450" s="1"/>
    </row>
    <row r="451" spans="1:4" x14ac:dyDescent="0.25">
      <c r="A451" s="5" t="str">
        <f t="shared" si="6"/>
        <v/>
      </c>
      <c r="C451" s="1"/>
      <c r="D451" s="1"/>
    </row>
    <row r="452" spans="1:4" x14ac:dyDescent="0.25">
      <c r="A452" s="5" t="str">
        <f t="shared" si="6"/>
        <v/>
      </c>
      <c r="C452" s="1"/>
      <c r="D452" s="1"/>
    </row>
    <row r="453" spans="1:4" x14ac:dyDescent="0.25">
      <c r="A453" s="5" t="str">
        <f t="shared" si="6"/>
        <v/>
      </c>
      <c r="C453" s="1"/>
      <c r="D453" s="1"/>
    </row>
    <row r="454" spans="1:4" x14ac:dyDescent="0.25">
      <c r="A454" s="5" t="str">
        <f t="shared" si="6"/>
        <v/>
      </c>
      <c r="C454" s="1"/>
      <c r="D454" s="1"/>
    </row>
    <row r="455" spans="1:4" x14ac:dyDescent="0.25">
      <c r="A455" s="5" t="str">
        <f t="shared" ref="A455:A500" si="7">IF(B455="","",A454+1)</f>
        <v/>
      </c>
      <c r="C455" s="1"/>
      <c r="D455" s="1"/>
    </row>
    <row r="456" spans="1:4" x14ac:dyDescent="0.25">
      <c r="A456" s="5" t="str">
        <f t="shared" si="7"/>
        <v/>
      </c>
      <c r="C456" s="1"/>
      <c r="D456" s="1"/>
    </row>
    <row r="457" spans="1:4" x14ac:dyDescent="0.25">
      <c r="A457" s="5" t="str">
        <f t="shared" si="7"/>
        <v/>
      </c>
      <c r="C457" s="1"/>
      <c r="D457" s="1"/>
    </row>
    <row r="458" spans="1:4" x14ac:dyDescent="0.25">
      <c r="A458" s="5" t="str">
        <f t="shared" si="7"/>
        <v/>
      </c>
      <c r="C458" s="1"/>
      <c r="D458" s="1"/>
    </row>
    <row r="459" spans="1:4" x14ac:dyDescent="0.25">
      <c r="A459" s="5" t="str">
        <f t="shared" si="7"/>
        <v/>
      </c>
      <c r="C459" s="1"/>
      <c r="D459" s="1"/>
    </row>
    <row r="460" spans="1:4" x14ac:dyDescent="0.25">
      <c r="A460" s="5" t="str">
        <f t="shared" si="7"/>
        <v/>
      </c>
      <c r="C460" s="1"/>
      <c r="D460" s="1"/>
    </row>
    <row r="461" spans="1:4" x14ac:dyDescent="0.25">
      <c r="A461" s="5" t="str">
        <f t="shared" si="7"/>
        <v/>
      </c>
      <c r="C461" s="1"/>
      <c r="D461" s="1"/>
    </row>
    <row r="462" spans="1:4" x14ac:dyDescent="0.25">
      <c r="A462" s="5" t="str">
        <f t="shared" si="7"/>
        <v/>
      </c>
      <c r="C462" s="1"/>
      <c r="D462" s="1"/>
    </row>
    <row r="463" spans="1:4" x14ac:dyDescent="0.25">
      <c r="A463" s="5" t="str">
        <f t="shared" si="7"/>
        <v/>
      </c>
      <c r="C463" s="1"/>
      <c r="D463" s="1"/>
    </row>
    <row r="464" spans="1:4" x14ac:dyDescent="0.25">
      <c r="A464" s="5" t="str">
        <f t="shared" si="7"/>
        <v/>
      </c>
      <c r="C464" s="1"/>
      <c r="D464" s="1"/>
    </row>
    <row r="465" spans="1:4" x14ac:dyDescent="0.25">
      <c r="A465" s="5" t="str">
        <f t="shared" si="7"/>
        <v/>
      </c>
      <c r="C465" s="1"/>
      <c r="D465" s="1"/>
    </row>
    <row r="466" spans="1:4" x14ac:dyDescent="0.25">
      <c r="A466" s="5" t="str">
        <f t="shared" si="7"/>
        <v/>
      </c>
      <c r="C466" s="1"/>
      <c r="D466" s="1"/>
    </row>
    <row r="467" spans="1:4" x14ac:dyDescent="0.25">
      <c r="A467" s="5" t="str">
        <f t="shared" si="7"/>
        <v/>
      </c>
      <c r="C467" s="1"/>
      <c r="D467" s="1"/>
    </row>
    <row r="468" spans="1:4" x14ac:dyDescent="0.25">
      <c r="A468" s="5" t="str">
        <f t="shared" si="7"/>
        <v/>
      </c>
      <c r="C468" s="1"/>
      <c r="D468" s="1"/>
    </row>
    <row r="469" spans="1:4" x14ac:dyDescent="0.25">
      <c r="A469" s="5" t="str">
        <f t="shared" si="7"/>
        <v/>
      </c>
      <c r="C469" s="1"/>
      <c r="D469" s="1"/>
    </row>
    <row r="470" spans="1:4" x14ac:dyDescent="0.25">
      <c r="A470" s="5" t="str">
        <f t="shared" si="7"/>
        <v/>
      </c>
      <c r="C470" s="1"/>
      <c r="D470" s="1"/>
    </row>
    <row r="471" spans="1:4" x14ac:dyDescent="0.25">
      <c r="A471" s="5" t="str">
        <f t="shared" si="7"/>
        <v/>
      </c>
      <c r="C471" s="1"/>
      <c r="D471" s="1"/>
    </row>
    <row r="472" spans="1:4" x14ac:dyDescent="0.25">
      <c r="A472" s="5" t="str">
        <f t="shared" si="7"/>
        <v/>
      </c>
      <c r="C472" s="1"/>
      <c r="D472" s="1"/>
    </row>
    <row r="473" spans="1:4" x14ac:dyDescent="0.25">
      <c r="A473" s="5" t="str">
        <f t="shared" si="7"/>
        <v/>
      </c>
      <c r="C473" s="1"/>
      <c r="D473" s="1"/>
    </row>
    <row r="474" spans="1:4" x14ac:dyDescent="0.25">
      <c r="A474" s="5" t="str">
        <f t="shared" si="7"/>
        <v/>
      </c>
      <c r="C474" s="1"/>
      <c r="D474" s="1"/>
    </row>
    <row r="475" spans="1:4" x14ac:dyDescent="0.25">
      <c r="A475" s="5" t="str">
        <f t="shared" si="7"/>
        <v/>
      </c>
      <c r="C475" s="1"/>
      <c r="D475" s="1"/>
    </row>
    <row r="476" spans="1:4" x14ac:dyDescent="0.25">
      <c r="A476" s="5" t="str">
        <f t="shared" si="7"/>
        <v/>
      </c>
      <c r="C476" s="1"/>
      <c r="D476" s="1"/>
    </row>
    <row r="477" spans="1:4" x14ac:dyDescent="0.25">
      <c r="A477" s="5" t="str">
        <f t="shared" si="7"/>
        <v/>
      </c>
      <c r="C477" s="1"/>
      <c r="D477" s="1"/>
    </row>
    <row r="478" spans="1:4" x14ac:dyDescent="0.25">
      <c r="A478" s="5" t="str">
        <f t="shared" si="7"/>
        <v/>
      </c>
      <c r="C478" s="1"/>
      <c r="D478" s="1"/>
    </row>
    <row r="479" spans="1:4" x14ac:dyDescent="0.25">
      <c r="A479" s="5" t="str">
        <f t="shared" si="7"/>
        <v/>
      </c>
      <c r="C479" s="1"/>
      <c r="D479" s="1"/>
    </row>
    <row r="480" spans="1:4" x14ac:dyDescent="0.25">
      <c r="A480" s="5" t="str">
        <f t="shared" si="7"/>
        <v/>
      </c>
      <c r="C480" s="1"/>
      <c r="D480" s="1"/>
    </row>
    <row r="481" spans="1:4" x14ac:dyDescent="0.25">
      <c r="A481" s="5" t="str">
        <f t="shared" si="7"/>
        <v/>
      </c>
      <c r="C481" s="1"/>
      <c r="D481" s="1"/>
    </row>
    <row r="482" spans="1:4" x14ac:dyDescent="0.25">
      <c r="A482" s="5" t="str">
        <f t="shared" si="7"/>
        <v/>
      </c>
      <c r="C482" s="1"/>
      <c r="D482" s="1"/>
    </row>
    <row r="483" spans="1:4" x14ac:dyDescent="0.25">
      <c r="A483" s="5" t="str">
        <f t="shared" si="7"/>
        <v/>
      </c>
      <c r="C483" s="1"/>
      <c r="D483" s="1"/>
    </row>
    <row r="484" spans="1:4" x14ac:dyDescent="0.25">
      <c r="A484" s="5" t="str">
        <f t="shared" si="7"/>
        <v/>
      </c>
      <c r="C484" s="1"/>
      <c r="D484" s="1"/>
    </row>
    <row r="485" spans="1:4" x14ac:dyDescent="0.25">
      <c r="A485" s="5" t="str">
        <f t="shared" si="7"/>
        <v/>
      </c>
      <c r="C485" s="1"/>
      <c r="D485" s="1"/>
    </row>
    <row r="486" spans="1:4" x14ac:dyDescent="0.25">
      <c r="A486" s="5" t="str">
        <f t="shared" si="7"/>
        <v/>
      </c>
      <c r="C486" s="1"/>
      <c r="D486" s="1"/>
    </row>
    <row r="487" spans="1:4" x14ac:dyDescent="0.25">
      <c r="A487" s="5" t="str">
        <f t="shared" si="7"/>
        <v/>
      </c>
      <c r="C487" s="1"/>
      <c r="D487" s="1"/>
    </row>
    <row r="488" spans="1:4" x14ac:dyDescent="0.25">
      <c r="A488" s="5" t="str">
        <f t="shared" si="7"/>
        <v/>
      </c>
      <c r="C488" s="1"/>
      <c r="D488" s="1"/>
    </row>
    <row r="489" spans="1:4" x14ac:dyDescent="0.25">
      <c r="A489" s="5" t="str">
        <f t="shared" si="7"/>
        <v/>
      </c>
      <c r="C489" s="1"/>
      <c r="D489" s="1"/>
    </row>
    <row r="490" spans="1:4" x14ac:dyDescent="0.25">
      <c r="A490" s="5" t="str">
        <f t="shared" si="7"/>
        <v/>
      </c>
      <c r="C490" s="1"/>
      <c r="D490" s="1"/>
    </row>
    <row r="491" spans="1:4" x14ac:dyDescent="0.25">
      <c r="A491" s="5" t="str">
        <f t="shared" si="7"/>
        <v/>
      </c>
      <c r="C491" s="1"/>
      <c r="D491" s="1"/>
    </row>
    <row r="492" spans="1:4" x14ac:dyDescent="0.25">
      <c r="A492" s="5" t="str">
        <f t="shared" si="7"/>
        <v/>
      </c>
      <c r="C492" s="1"/>
      <c r="D492" s="1"/>
    </row>
    <row r="493" spans="1:4" x14ac:dyDescent="0.25">
      <c r="A493" s="5" t="str">
        <f t="shared" si="7"/>
        <v/>
      </c>
      <c r="C493" s="1"/>
      <c r="D493" s="1"/>
    </row>
    <row r="494" spans="1:4" x14ac:dyDescent="0.25">
      <c r="A494" s="5" t="str">
        <f t="shared" si="7"/>
        <v/>
      </c>
      <c r="C494" s="1"/>
      <c r="D494" s="1"/>
    </row>
    <row r="495" spans="1:4" x14ac:dyDescent="0.25">
      <c r="A495" s="5" t="str">
        <f t="shared" si="7"/>
        <v/>
      </c>
      <c r="C495" s="1"/>
      <c r="D495" s="1"/>
    </row>
    <row r="496" spans="1:4" x14ac:dyDescent="0.25">
      <c r="A496" s="5" t="str">
        <f t="shared" si="7"/>
        <v/>
      </c>
      <c r="C496" s="1"/>
      <c r="D496" s="1"/>
    </row>
    <row r="497" spans="1:4" x14ac:dyDescent="0.25">
      <c r="A497" s="5" t="str">
        <f t="shared" si="7"/>
        <v/>
      </c>
      <c r="C497" s="1"/>
      <c r="D497" s="1"/>
    </row>
    <row r="498" spans="1:4" x14ac:dyDescent="0.25">
      <c r="A498" s="5" t="str">
        <f t="shared" si="7"/>
        <v/>
      </c>
      <c r="C498" s="1"/>
      <c r="D498" s="1"/>
    </row>
    <row r="499" spans="1:4" x14ac:dyDescent="0.25">
      <c r="A499" s="5" t="str">
        <f t="shared" si="7"/>
        <v/>
      </c>
      <c r="C499" s="1"/>
      <c r="D499" s="1"/>
    </row>
    <row r="500" spans="1:4" x14ac:dyDescent="0.25">
      <c r="A500" s="5" t="str">
        <f t="shared" si="7"/>
        <v/>
      </c>
      <c r="C500" s="1"/>
      <c r="D500" s="1"/>
    </row>
  </sheetData>
  <pageMargins left="0.7" right="0.7" top="0.75" bottom="0.75" header="0.3" footer="0.3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2:H5"/>
  <sheetViews>
    <sheetView showGridLines="0" workbookViewId="0">
      <selection activeCell="A6" sqref="A6"/>
    </sheetView>
  </sheetViews>
  <sheetFormatPr defaultRowHeight="15" x14ac:dyDescent="0.25"/>
  <cols>
    <col min="1" max="1" width="3.28515625" bestFit="1" customWidth="1"/>
    <col min="2" max="2" width="13.42578125" bestFit="1" customWidth="1"/>
    <col min="3" max="4" width="17.28515625" bestFit="1" customWidth="1"/>
    <col min="5" max="5" width="12.85546875" bestFit="1" customWidth="1"/>
    <col min="6" max="6" width="13.85546875" bestFit="1" customWidth="1"/>
    <col min="7" max="7" width="27.42578125" customWidth="1"/>
    <col min="8" max="8" width="19" customWidth="1"/>
  </cols>
  <sheetData>
    <row r="2" spans="1:8" x14ac:dyDescent="0.25">
      <c r="H2" s="10" t="str">
        <f>COUNTA($B$5:$B$6000)&amp;" Jiwa"</f>
        <v>0 Jiwa</v>
      </c>
    </row>
    <row r="4" spans="1:8" ht="15.75" thickBot="1" x14ac:dyDescent="0.3">
      <c r="A4" s="6" t="s">
        <v>0</v>
      </c>
      <c r="B4" s="7" t="s">
        <v>7</v>
      </c>
      <c r="C4" s="8" t="s">
        <v>5</v>
      </c>
      <c r="D4" s="8" t="s">
        <v>6</v>
      </c>
      <c r="E4" s="7" t="s">
        <v>1</v>
      </c>
      <c r="F4" s="17" t="s">
        <v>15</v>
      </c>
      <c r="G4" s="17" t="s">
        <v>16</v>
      </c>
      <c r="H4" s="17" t="s">
        <v>17</v>
      </c>
    </row>
    <row r="5" spans="1:8" x14ac:dyDescent="0.25">
      <c r="A5" s="5" t="str">
        <f>IF(B5="","",1)</f>
        <v/>
      </c>
      <c r="B5" s="3"/>
      <c r="C5" s="4"/>
      <c r="D5" s="4"/>
      <c r="E5" s="3"/>
      <c r="F5" s="16"/>
    </row>
  </sheetData>
  <pageMargins left="0.7" right="0.7" top="0.75" bottom="0.75" header="0.3" footer="0.3"/>
  <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4:H503"/>
  <sheetViews>
    <sheetView showGridLines="0" topLeftCell="C1" workbookViewId="0">
      <selection activeCell="H5" sqref="H5"/>
    </sheetView>
  </sheetViews>
  <sheetFormatPr defaultRowHeight="15" x14ac:dyDescent="0.25"/>
  <cols>
    <col min="1" max="1" width="5.140625" style="10" customWidth="1"/>
    <col min="2" max="2" width="31.28515625" bestFit="1" customWidth="1"/>
    <col min="3" max="3" width="17.28515625" bestFit="1" customWidth="1"/>
    <col min="4" max="4" width="15.7109375" customWidth="1"/>
    <col min="5" max="5" width="19" customWidth="1"/>
    <col min="6" max="6" width="17.5703125" customWidth="1"/>
    <col min="7" max="7" width="16.5703125" style="10" customWidth="1"/>
    <col min="8" max="8" width="13.7109375" customWidth="1"/>
  </cols>
  <sheetData>
    <row r="4" spans="1:8" ht="15.75" thickBot="1" x14ac:dyDescent="0.3">
      <c r="A4" s="6" t="s">
        <v>0</v>
      </c>
      <c r="B4" s="7" t="s">
        <v>7</v>
      </c>
      <c r="C4" s="8" t="s">
        <v>5</v>
      </c>
      <c r="D4" s="7" t="s">
        <v>1</v>
      </c>
      <c r="E4" s="7" t="s">
        <v>2</v>
      </c>
      <c r="F4" s="9" t="s">
        <v>3</v>
      </c>
      <c r="G4" s="12" t="s">
        <v>10</v>
      </c>
      <c r="H4" s="12" t="s">
        <v>11</v>
      </c>
    </row>
    <row r="5" spans="1:8" x14ac:dyDescent="0.25">
      <c r="A5" s="10">
        <f>IF(DATAPENDUDUK!A5="","",DATAPENDUDUK!A5)</f>
        <v>1</v>
      </c>
      <c r="B5" s="13" t="str">
        <f>IF(DATAPENDUDUK!B5="","",DATAPENDUDUK!B5)</f>
        <v>NEAR KENDARI</v>
      </c>
      <c r="C5" s="10" t="str">
        <f>IF(DATAPENDUDUK!C5="","",DATAPENDUDUK!C5)</f>
        <v>0894348939450943</v>
      </c>
      <c r="D5" s="10" t="str">
        <f>IF(DATAPENDUDUK!E5="","",DATAPENDUDUK!E5)</f>
        <v>Laki-Laki</v>
      </c>
      <c r="E5" s="10" t="str">
        <f>IF(DATAPENDUDUK!F5="","",DATAPENDUDUK!F5)</f>
        <v>Belum Kawin</v>
      </c>
      <c r="F5" s="11">
        <f>IF(DATAPENDUDUK!H5="","",DATAPENDUDUK!H5)</f>
        <v>36193</v>
      </c>
      <c r="G5" s="10">
        <f ca="1">IFERROR(DATEDIF(F5,TODAY(),"Y"),"")</f>
        <v>22</v>
      </c>
      <c r="H5" t="str">
        <f ca="1">IF(G5="","",IF(G5&lt;=1,"Bayi",IF(G5&lt;=10,"Anak-Anak",IF(G5&lt;=19,"Remaja",IF(G5&lt;=60,"Dewasa",IF(G5&gt;60,"Lanjut Usia"))))))</f>
        <v>Dewasa</v>
      </c>
    </row>
    <row r="6" spans="1:8" x14ac:dyDescent="0.25">
      <c r="A6" s="10">
        <f>IF(DATAPENDUDUK!A6="","",DATAPENDUDUK!A6)</f>
        <v>2</v>
      </c>
      <c r="B6" s="13" t="str">
        <f>IF(DATAPENDUDUK!B6="","",DATAPENDUDUK!B6)</f>
        <v>KAKULE</v>
      </c>
      <c r="C6" s="10" t="str">
        <f>IF(DATAPENDUDUK!C6="","",DATAPENDUDUK!C6)</f>
        <v>0439459354054</v>
      </c>
      <c r="D6" s="10" t="str">
        <f>IF(DATAPENDUDUK!E6="","",DATAPENDUDUK!E6)</f>
        <v>Laki-Laki</v>
      </c>
      <c r="E6" s="10" t="str">
        <f>IF(DATAPENDUDUK!F6="","",DATAPENDUDUK!F6)</f>
        <v>Belum Kawin</v>
      </c>
      <c r="F6" s="11">
        <f>IF(DATAPENDUDUK!H6="","",DATAPENDUDUK!H6)</f>
        <v>36193</v>
      </c>
      <c r="G6" s="10">
        <f t="shared" ref="G6:G69" ca="1" si="0">IFERROR(DATEDIF(F6,TODAY(),"Y"),"")</f>
        <v>22</v>
      </c>
      <c r="H6" t="str">
        <f t="shared" ref="H6:H69" ca="1" si="1">IF(G6="","",IF(G6&lt;=1,"Bayi",IF(G6&lt;=10,"Anak-Anak",IF(G6&lt;=19,"Remaja",IF(G6&lt;=60,"Dewasa",IF(G6&gt;60,"Lanjut Usia"))))))</f>
        <v>Dewasa</v>
      </c>
    </row>
    <row r="7" spans="1:8" x14ac:dyDescent="0.25">
      <c r="A7" s="10">
        <f>IF(DATAPENDUDUK!A7="","",DATAPENDUDUK!A7)</f>
        <v>3</v>
      </c>
      <c r="B7" s="13" t="str">
        <f>IF(DATAPENDUDUK!B7="","",DATAPENDUDUK!B7)</f>
        <v>AAAA</v>
      </c>
      <c r="C7" s="10" t="str">
        <f>IF(DATAPENDUDUK!C7="","",DATAPENDUDUK!C7)</f>
        <v>935803500</v>
      </c>
      <c r="D7" s="10" t="str">
        <f>IF(DATAPENDUDUK!E7="","",DATAPENDUDUK!E7)</f>
        <v>Perempuan</v>
      </c>
      <c r="E7" s="10" t="str">
        <f>IF(DATAPENDUDUK!F7="","",DATAPENDUDUK!F7)</f>
        <v>Belum Kawin</v>
      </c>
      <c r="F7" s="11">
        <f>IF(DATAPENDUDUK!H7="","",DATAPENDUDUK!H7)</f>
        <v>36193</v>
      </c>
      <c r="G7" s="10">
        <f t="shared" ca="1" si="0"/>
        <v>22</v>
      </c>
      <c r="H7" t="str">
        <f t="shared" ca="1" si="1"/>
        <v>Dewasa</v>
      </c>
    </row>
    <row r="8" spans="1:8" x14ac:dyDescent="0.25">
      <c r="A8" s="10" t="str">
        <f>IF(DATAPENDUDUK!A8="","",DATAPENDUDUK!A8)</f>
        <v/>
      </c>
      <c r="B8" s="13" t="str">
        <f>IF(DATAPENDUDUK!B8="","",DATAPENDUDUK!B8)</f>
        <v/>
      </c>
      <c r="C8" s="10" t="str">
        <f>IF(DATAPENDUDUK!C8="","",DATAPENDUDUK!C8)</f>
        <v/>
      </c>
      <c r="D8" s="10" t="str">
        <f>IF(DATAPENDUDUK!E8="","",DATAPENDUDUK!E8)</f>
        <v/>
      </c>
      <c r="E8" s="10" t="str">
        <f>IF(DATAPENDUDUK!F8="","",DATAPENDUDUK!F8)</f>
        <v/>
      </c>
      <c r="F8" s="11" t="str">
        <f>IF(DATAPENDUDUK!H8="","",DATAPENDUDUK!H8)</f>
        <v/>
      </c>
      <c r="G8" s="10" t="str">
        <f t="shared" ca="1" si="0"/>
        <v/>
      </c>
      <c r="H8" t="str">
        <f t="shared" ca="1" si="1"/>
        <v/>
      </c>
    </row>
    <row r="9" spans="1:8" x14ac:dyDescent="0.25">
      <c r="A9" s="10" t="str">
        <f>IF(DATAPENDUDUK!A9="","",DATAPENDUDUK!A9)</f>
        <v/>
      </c>
      <c r="B9" s="13" t="str">
        <f>IF(DATAPENDUDUK!B9="","",DATAPENDUDUK!B9)</f>
        <v/>
      </c>
      <c r="C9" s="10" t="str">
        <f>IF(DATAPENDUDUK!C9="","",DATAPENDUDUK!C9)</f>
        <v/>
      </c>
      <c r="D9" s="10" t="str">
        <f>IF(DATAPENDUDUK!E9="","",DATAPENDUDUK!E9)</f>
        <v/>
      </c>
      <c r="E9" s="10" t="str">
        <f>IF(DATAPENDUDUK!F9="","",DATAPENDUDUK!F9)</f>
        <v/>
      </c>
      <c r="F9" s="11" t="str">
        <f>IF(DATAPENDUDUK!H9="","",DATAPENDUDUK!H9)</f>
        <v/>
      </c>
      <c r="G9" s="10" t="str">
        <f t="shared" ca="1" si="0"/>
        <v/>
      </c>
      <c r="H9" t="str">
        <f t="shared" ca="1" si="1"/>
        <v/>
      </c>
    </row>
    <row r="10" spans="1:8" x14ac:dyDescent="0.25">
      <c r="A10" s="10" t="str">
        <f>IF(DATAPENDUDUK!A10="","",DATAPENDUDUK!A10)</f>
        <v/>
      </c>
      <c r="B10" s="13" t="str">
        <f>IF(DATAPENDUDUK!B10="","",DATAPENDUDUK!B10)</f>
        <v/>
      </c>
      <c r="C10" s="10" t="str">
        <f>IF(DATAPENDUDUK!C10="","",DATAPENDUDUK!C10)</f>
        <v/>
      </c>
      <c r="D10" s="10" t="str">
        <f>IF(DATAPENDUDUK!E10="","",DATAPENDUDUK!E10)</f>
        <v/>
      </c>
      <c r="E10" s="10" t="str">
        <f>IF(DATAPENDUDUK!F10="","",DATAPENDUDUK!F10)</f>
        <v/>
      </c>
      <c r="F10" s="11" t="str">
        <f>IF(DATAPENDUDUK!H10="","",DATAPENDUDUK!H10)</f>
        <v/>
      </c>
      <c r="G10" s="10" t="str">
        <f t="shared" ca="1" si="0"/>
        <v/>
      </c>
      <c r="H10" t="str">
        <f t="shared" ca="1" si="1"/>
        <v/>
      </c>
    </row>
    <row r="11" spans="1:8" x14ac:dyDescent="0.25">
      <c r="A11" s="10" t="str">
        <f>IF(DATAPENDUDUK!A11="","",DATAPENDUDUK!A11)</f>
        <v/>
      </c>
      <c r="B11" s="13" t="str">
        <f>IF(DATAPENDUDUK!B11="","",DATAPENDUDUK!B11)</f>
        <v/>
      </c>
      <c r="C11" s="10" t="str">
        <f>IF(DATAPENDUDUK!C11="","",DATAPENDUDUK!C11)</f>
        <v/>
      </c>
      <c r="D11" s="10" t="str">
        <f>IF(DATAPENDUDUK!E11="","",DATAPENDUDUK!E11)</f>
        <v/>
      </c>
      <c r="E11" s="10" t="str">
        <f>IF(DATAPENDUDUK!F11="","",DATAPENDUDUK!F11)</f>
        <v/>
      </c>
      <c r="F11" s="11" t="str">
        <f>IF(DATAPENDUDUK!H11="","",DATAPENDUDUK!H11)</f>
        <v/>
      </c>
      <c r="G11" s="10" t="str">
        <f t="shared" ca="1" si="0"/>
        <v/>
      </c>
      <c r="H11" t="str">
        <f t="shared" ca="1" si="1"/>
        <v/>
      </c>
    </row>
    <row r="12" spans="1:8" x14ac:dyDescent="0.25">
      <c r="A12" s="10" t="str">
        <f>IF(DATAPENDUDUK!A12="","",DATAPENDUDUK!A12)</f>
        <v/>
      </c>
      <c r="B12" s="13" t="str">
        <f>IF(DATAPENDUDUK!B12="","",DATAPENDUDUK!B12)</f>
        <v/>
      </c>
      <c r="C12" s="10" t="str">
        <f>IF(DATAPENDUDUK!C12="","",DATAPENDUDUK!C12)</f>
        <v/>
      </c>
      <c r="D12" s="10" t="str">
        <f>IF(DATAPENDUDUK!E12="","",DATAPENDUDUK!E12)</f>
        <v/>
      </c>
      <c r="E12" s="10" t="str">
        <f>IF(DATAPENDUDUK!F12="","",DATAPENDUDUK!F12)</f>
        <v/>
      </c>
      <c r="F12" s="11" t="str">
        <f>IF(DATAPENDUDUK!H12="","",DATAPENDUDUK!H12)</f>
        <v/>
      </c>
      <c r="G12" s="10" t="str">
        <f t="shared" ca="1" si="0"/>
        <v/>
      </c>
      <c r="H12" t="str">
        <f t="shared" ca="1" si="1"/>
        <v/>
      </c>
    </row>
    <row r="13" spans="1:8" x14ac:dyDescent="0.25">
      <c r="A13" s="10" t="str">
        <f>IF(DATAPENDUDUK!A13="","",DATAPENDUDUK!A13)</f>
        <v/>
      </c>
      <c r="B13" s="13" t="str">
        <f>IF(DATAPENDUDUK!B13="","",DATAPENDUDUK!B13)</f>
        <v/>
      </c>
      <c r="C13" s="10" t="str">
        <f>IF(DATAPENDUDUK!C13="","",DATAPENDUDUK!C13)</f>
        <v/>
      </c>
      <c r="D13" s="10" t="str">
        <f>IF(DATAPENDUDUK!E13="","",DATAPENDUDUK!E13)</f>
        <v/>
      </c>
      <c r="E13" s="10" t="str">
        <f>IF(DATAPENDUDUK!F13="","",DATAPENDUDUK!F13)</f>
        <v/>
      </c>
      <c r="F13" s="11" t="str">
        <f>IF(DATAPENDUDUK!H13="","",DATAPENDUDUK!H13)</f>
        <v/>
      </c>
      <c r="G13" s="10" t="str">
        <f t="shared" ca="1" si="0"/>
        <v/>
      </c>
      <c r="H13" t="str">
        <f t="shared" ca="1" si="1"/>
        <v/>
      </c>
    </row>
    <row r="14" spans="1:8" x14ac:dyDescent="0.25">
      <c r="A14" s="10" t="str">
        <f>IF(DATAPENDUDUK!A14="","",DATAPENDUDUK!A14)</f>
        <v/>
      </c>
      <c r="B14" s="13" t="str">
        <f>IF(DATAPENDUDUK!B14="","",DATAPENDUDUK!B14)</f>
        <v/>
      </c>
      <c r="C14" s="10" t="str">
        <f>IF(DATAPENDUDUK!C14="","",DATAPENDUDUK!C14)</f>
        <v/>
      </c>
      <c r="D14" s="10" t="str">
        <f>IF(DATAPENDUDUK!E14="","",DATAPENDUDUK!E14)</f>
        <v/>
      </c>
      <c r="E14" s="10" t="str">
        <f>IF(DATAPENDUDUK!F14="","",DATAPENDUDUK!F14)</f>
        <v/>
      </c>
      <c r="F14" s="11" t="str">
        <f>IF(DATAPENDUDUK!H14="","",DATAPENDUDUK!H14)</f>
        <v/>
      </c>
      <c r="G14" s="10" t="str">
        <f t="shared" ca="1" si="0"/>
        <v/>
      </c>
      <c r="H14" t="str">
        <f t="shared" ca="1" si="1"/>
        <v/>
      </c>
    </row>
    <row r="15" spans="1:8" x14ac:dyDescent="0.25">
      <c r="A15" s="10" t="str">
        <f>IF(DATAPENDUDUK!A15="","",DATAPENDUDUK!A15)</f>
        <v/>
      </c>
      <c r="B15" s="13" t="str">
        <f>IF(DATAPENDUDUK!B15="","",DATAPENDUDUK!B15)</f>
        <v/>
      </c>
      <c r="C15" s="10" t="str">
        <f>IF(DATAPENDUDUK!C15="","",DATAPENDUDUK!C15)</f>
        <v/>
      </c>
      <c r="D15" s="10" t="str">
        <f>IF(DATAPENDUDUK!E15="","",DATAPENDUDUK!E15)</f>
        <v/>
      </c>
      <c r="E15" s="10" t="str">
        <f>IF(DATAPENDUDUK!F15="","",DATAPENDUDUK!F15)</f>
        <v/>
      </c>
      <c r="F15" s="11" t="str">
        <f>IF(DATAPENDUDUK!H15="","",DATAPENDUDUK!H15)</f>
        <v/>
      </c>
      <c r="G15" s="10" t="str">
        <f t="shared" ca="1" si="0"/>
        <v/>
      </c>
      <c r="H15" t="str">
        <f t="shared" ca="1" si="1"/>
        <v/>
      </c>
    </row>
    <row r="16" spans="1:8" x14ac:dyDescent="0.25">
      <c r="A16" s="10" t="str">
        <f>IF(DATAPENDUDUK!A16="","",DATAPENDUDUK!A16)</f>
        <v/>
      </c>
      <c r="B16" s="13" t="str">
        <f>IF(DATAPENDUDUK!B16="","",DATAPENDUDUK!B16)</f>
        <v/>
      </c>
      <c r="C16" s="10" t="str">
        <f>IF(DATAPENDUDUK!C16="","",DATAPENDUDUK!C16)</f>
        <v/>
      </c>
      <c r="D16" s="10" t="str">
        <f>IF(DATAPENDUDUK!E16="","",DATAPENDUDUK!E16)</f>
        <v/>
      </c>
      <c r="E16" s="10" t="str">
        <f>IF(DATAPENDUDUK!F16="","",DATAPENDUDUK!F16)</f>
        <v/>
      </c>
      <c r="F16" s="11" t="str">
        <f>IF(DATAPENDUDUK!H16="","",DATAPENDUDUK!H16)</f>
        <v/>
      </c>
      <c r="G16" s="10" t="str">
        <f t="shared" ca="1" si="0"/>
        <v/>
      </c>
      <c r="H16" t="str">
        <f t="shared" ca="1" si="1"/>
        <v/>
      </c>
    </row>
    <row r="17" spans="1:8" x14ac:dyDescent="0.25">
      <c r="A17" s="10" t="str">
        <f>IF(DATAPENDUDUK!A17="","",DATAPENDUDUK!A17)</f>
        <v/>
      </c>
      <c r="B17" s="13" t="str">
        <f>IF(DATAPENDUDUK!B17="","",DATAPENDUDUK!B17)</f>
        <v/>
      </c>
      <c r="C17" s="10" t="str">
        <f>IF(DATAPENDUDUK!C17="","",DATAPENDUDUK!C17)</f>
        <v/>
      </c>
      <c r="D17" s="10" t="str">
        <f>IF(DATAPENDUDUK!E17="","",DATAPENDUDUK!E17)</f>
        <v/>
      </c>
      <c r="E17" s="10" t="str">
        <f>IF(DATAPENDUDUK!F17="","",DATAPENDUDUK!F17)</f>
        <v/>
      </c>
      <c r="F17" s="11" t="str">
        <f>IF(DATAPENDUDUK!H17="","",DATAPENDUDUK!H17)</f>
        <v/>
      </c>
      <c r="G17" s="10" t="str">
        <f t="shared" ca="1" si="0"/>
        <v/>
      </c>
      <c r="H17" t="str">
        <f t="shared" ca="1" si="1"/>
        <v/>
      </c>
    </row>
    <row r="18" spans="1:8" x14ac:dyDescent="0.25">
      <c r="A18" s="10" t="str">
        <f>IF(DATAPENDUDUK!A18="","",DATAPENDUDUK!A18)</f>
        <v/>
      </c>
      <c r="B18" s="13" t="str">
        <f>IF(DATAPENDUDUK!B18="","",DATAPENDUDUK!B18)</f>
        <v/>
      </c>
      <c r="C18" s="10" t="str">
        <f>IF(DATAPENDUDUK!C18="","",DATAPENDUDUK!C18)</f>
        <v/>
      </c>
      <c r="D18" s="10" t="str">
        <f>IF(DATAPENDUDUK!E18="","",DATAPENDUDUK!E18)</f>
        <v/>
      </c>
      <c r="E18" s="10" t="str">
        <f>IF(DATAPENDUDUK!F18="","",DATAPENDUDUK!F18)</f>
        <v/>
      </c>
      <c r="F18" s="11" t="str">
        <f>IF(DATAPENDUDUK!H18="","",DATAPENDUDUK!H18)</f>
        <v/>
      </c>
      <c r="G18" s="10" t="str">
        <f t="shared" ca="1" si="0"/>
        <v/>
      </c>
      <c r="H18" t="str">
        <f t="shared" ca="1" si="1"/>
        <v/>
      </c>
    </row>
    <row r="19" spans="1:8" x14ac:dyDescent="0.25">
      <c r="A19" s="10" t="str">
        <f>IF(DATAPENDUDUK!A19="","",DATAPENDUDUK!A19)</f>
        <v/>
      </c>
      <c r="B19" s="13" t="str">
        <f>IF(DATAPENDUDUK!B19="","",DATAPENDUDUK!B19)</f>
        <v/>
      </c>
      <c r="C19" s="10" t="str">
        <f>IF(DATAPENDUDUK!C19="","",DATAPENDUDUK!C19)</f>
        <v/>
      </c>
      <c r="D19" s="10" t="str">
        <f>IF(DATAPENDUDUK!E19="","",DATAPENDUDUK!E19)</f>
        <v/>
      </c>
      <c r="E19" s="10" t="str">
        <f>IF(DATAPENDUDUK!F19="","",DATAPENDUDUK!F19)</f>
        <v/>
      </c>
      <c r="F19" s="11" t="str">
        <f>IF(DATAPENDUDUK!H19="","",DATAPENDUDUK!H19)</f>
        <v/>
      </c>
      <c r="G19" s="10" t="str">
        <f t="shared" ca="1" si="0"/>
        <v/>
      </c>
      <c r="H19" t="str">
        <f t="shared" ca="1" si="1"/>
        <v/>
      </c>
    </row>
    <row r="20" spans="1:8" x14ac:dyDescent="0.25">
      <c r="A20" s="10" t="str">
        <f>IF(DATAPENDUDUK!A20="","",DATAPENDUDUK!A20)</f>
        <v/>
      </c>
      <c r="B20" s="13" t="str">
        <f>IF(DATAPENDUDUK!B20="","",DATAPENDUDUK!B20)</f>
        <v/>
      </c>
      <c r="C20" s="10" t="str">
        <f>IF(DATAPENDUDUK!C20="","",DATAPENDUDUK!C20)</f>
        <v/>
      </c>
      <c r="D20" s="10" t="str">
        <f>IF(DATAPENDUDUK!E20="","",DATAPENDUDUK!E20)</f>
        <v/>
      </c>
      <c r="E20" s="10" t="str">
        <f>IF(DATAPENDUDUK!F20="","",DATAPENDUDUK!F20)</f>
        <v/>
      </c>
      <c r="F20" s="11" t="str">
        <f>IF(DATAPENDUDUK!H20="","",DATAPENDUDUK!H20)</f>
        <v/>
      </c>
      <c r="G20" s="10" t="str">
        <f t="shared" ca="1" si="0"/>
        <v/>
      </c>
      <c r="H20" t="str">
        <f t="shared" ca="1" si="1"/>
        <v/>
      </c>
    </row>
    <row r="21" spans="1:8" x14ac:dyDescent="0.25">
      <c r="A21" s="10" t="str">
        <f>IF(DATAPENDUDUK!A21="","",DATAPENDUDUK!A21)</f>
        <v/>
      </c>
      <c r="B21" s="13" t="str">
        <f>IF(DATAPENDUDUK!B21="","",DATAPENDUDUK!B21)</f>
        <v/>
      </c>
      <c r="C21" s="10" t="str">
        <f>IF(DATAPENDUDUK!C21="","",DATAPENDUDUK!C21)</f>
        <v/>
      </c>
      <c r="D21" s="10" t="str">
        <f>IF(DATAPENDUDUK!E21="","",DATAPENDUDUK!E21)</f>
        <v/>
      </c>
      <c r="E21" s="10" t="str">
        <f>IF(DATAPENDUDUK!F21="","",DATAPENDUDUK!F21)</f>
        <v/>
      </c>
      <c r="F21" s="11" t="str">
        <f>IF(DATAPENDUDUK!H21="","",DATAPENDUDUK!H21)</f>
        <v/>
      </c>
      <c r="G21" s="10" t="str">
        <f t="shared" ca="1" si="0"/>
        <v/>
      </c>
      <c r="H21" t="str">
        <f t="shared" ca="1" si="1"/>
        <v/>
      </c>
    </row>
    <row r="22" spans="1:8" x14ac:dyDescent="0.25">
      <c r="A22" s="10" t="str">
        <f>IF(DATAPENDUDUK!A22="","",DATAPENDUDUK!A22)</f>
        <v/>
      </c>
      <c r="B22" s="13" t="str">
        <f>IF(DATAPENDUDUK!B22="","",DATAPENDUDUK!B22)</f>
        <v/>
      </c>
      <c r="C22" s="10" t="str">
        <f>IF(DATAPENDUDUK!C22="","",DATAPENDUDUK!C22)</f>
        <v/>
      </c>
      <c r="D22" s="10" t="str">
        <f>IF(DATAPENDUDUK!E22="","",DATAPENDUDUK!E22)</f>
        <v/>
      </c>
      <c r="E22" s="10" t="str">
        <f>IF(DATAPENDUDUK!F22="","",DATAPENDUDUK!F22)</f>
        <v/>
      </c>
      <c r="F22" s="11" t="str">
        <f>IF(DATAPENDUDUK!H22="","",DATAPENDUDUK!H22)</f>
        <v/>
      </c>
      <c r="G22" s="10" t="str">
        <f t="shared" ca="1" si="0"/>
        <v/>
      </c>
      <c r="H22" t="str">
        <f t="shared" ca="1" si="1"/>
        <v/>
      </c>
    </row>
    <row r="23" spans="1:8" x14ac:dyDescent="0.25">
      <c r="A23" s="10" t="str">
        <f>IF(DATAPENDUDUK!A23="","",DATAPENDUDUK!A23)</f>
        <v/>
      </c>
      <c r="B23" s="13" t="str">
        <f>IF(DATAPENDUDUK!B23="","",DATAPENDUDUK!B23)</f>
        <v/>
      </c>
      <c r="C23" s="10" t="str">
        <f>IF(DATAPENDUDUK!C23="","",DATAPENDUDUK!C23)</f>
        <v/>
      </c>
      <c r="D23" s="10" t="str">
        <f>IF(DATAPENDUDUK!E23="","",DATAPENDUDUK!E23)</f>
        <v/>
      </c>
      <c r="E23" s="10" t="str">
        <f>IF(DATAPENDUDUK!F23="","",DATAPENDUDUK!F23)</f>
        <v/>
      </c>
      <c r="F23" s="11" t="str">
        <f>IF(DATAPENDUDUK!H23="","",DATAPENDUDUK!H23)</f>
        <v/>
      </c>
      <c r="G23" s="10" t="str">
        <f t="shared" ca="1" si="0"/>
        <v/>
      </c>
      <c r="H23" t="str">
        <f t="shared" ca="1" si="1"/>
        <v/>
      </c>
    </row>
    <row r="24" spans="1:8" x14ac:dyDescent="0.25">
      <c r="A24" s="10" t="str">
        <f>IF(DATAPENDUDUK!A24="","",DATAPENDUDUK!A24)</f>
        <v/>
      </c>
      <c r="B24" s="13" t="str">
        <f>IF(DATAPENDUDUK!B24="","",DATAPENDUDUK!B24)</f>
        <v/>
      </c>
      <c r="C24" s="10" t="str">
        <f>IF(DATAPENDUDUK!C24="","",DATAPENDUDUK!C24)</f>
        <v/>
      </c>
      <c r="D24" s="10" t="str">
        <f>IF(DATAPENDUDUK!E24="","",DATAPENDUDUK!E24)</f>
        <v/>
      </c>
      <c r="E24" s="10" t="str">
        <f>IF(DATAPENDUDUK!F24="","",DATAPENDUDUK!F24)</f>
        <v/>
      </c>
      <c r="F24" s="11" t="str">
        <f>IF(DATAPENDUDUK!H24="","",DATAPENDUDUK!H24)</f>
        <v/>
      </c>
      <c r="G24" s="10" t="str">
        <f t="shared" ca="1" si="0"/>
        <v/>
      </c>
      <c r="H24" t="str">
        <f t="shared" ca="1" si="1"/>
        <v/>
      </c>
    </row>
    <row r="25" spans="1:8" x14ac:dyDescent="0.25">
      <c r="A25" s="10" t="str">
        <f>IF(DATAPENDUDUK!A25="","",DATAPENDUDUK!A25)</f>
        <v/>
      </c>
      <c r="B25" s="13" t="str">
        <f>IF(DATAPENDUDUK!B25="","",DATAPENDUDUK!B25)</f>
        <v/>
      </c>
      <c r="C25" s="10" t="str">
        <f>IF(DATAPENDUDUK!C25="","",DATAPENDUDUK!C25)</f>
        <v/>
      </c>
      <c r="D25" s="10" t="str">
        <f>IF(DATAPENDUDUK!E25="","",DATAPENDUDUK!E25)</f>
        <v/>
      </c>
      <c r="E25" s="10" t="str">
        <f>IF(DATAPENDUDUK!F25="","",DATAPENDUDUK!F25)</f>
        <v/>
      </c>
      <c r="F25" s="11" t="str">
        <f>IF(DATAPENDUDUK!H25="","",DATAPENDUDUK!H25)</f>
        <v/>
      </c>
      <c r="G25" s="10" t="str">
        <f t="shared" ca="1" si="0"/>
        <v/>
      </c>
      <c r="H25" t="str">
        <f t="shared" ca="1" si="1"/>
        <v/>
      </c>
    </row>
    <row r="26" spans="1:8" x14ac:dyDescent="0.25">
      <c r="A26" s="10" t="str">
        <f>IF(DATAPENDUDUK!A26="","",DATAPENDUDUK!A26)</f>
        <v/>
      </c>
      <c r="B26" s="13" t="str">
        <f>IF(DATAPENDUDUK!B26="","",DATAPENDUDUK!B26)</f>
        <v/>
      </c>
      <c r="C26" s="10" t="str">
        <f>IF(DATAPENDUDUK!C26="","",DATAPENDUDUK!C26)</f>
        <v/>
      </c>
      <c r="D26" s="10" t="str">
        <f>IF(DATAPENDUDUK!E26="","",DATAPENDUDUK!E26)</f>
        <v/>
      </c>
      <c r="E26" s="10" t="str">
        <f>IF(DATAPENDUDUK!F26="","",DATAPENDUDUK!F26)</f>
        <v/>
      </c>
      <c r="F26" s="11" t="str">
        <f>IF(DATAPENDUDUK!H26="","",DATAPENDUDUK!H26)</f>
        <v/>
      </c>
      <c r="G26" s="10" t="str">
        <f t="shared" ca="1" si="0"/>
        <v/>
      </c>
      <c r="H26" t="str">
        <f t="shared" ca="1" si="1"/>
        <v/>
      </c>
    </row>
    <row r="27" spans="1:8" x14ac:dyDescent="0.25">
      <c r="A27" s="10" t="str">
        <f>IF(DATAPENDUDUK!A27="","",DATAPENDUDUK!A27)</f>
        <v/>
      </c>
      <c r="B27" s="13" t="str">
        <f>IF(DATAPENDUDUK!B27="","",DATAPENDUDUK!B27)</f>
        <v/>
      </c>
      <c r="C27" s="10" t="str">
        <f>IF(DATAPENDUDUK!C27="","",DATAPENDUDUK!C27)</f>
        <v/>
      </c>
      <c r="D27" s="10" t="str">
        <f>IF(DATAPENDUDUK!E27="","",DATAPENDUDUK!E27)</f>
        <v/>
      </c>
      <c r="E27" s="10" t="str">
        <f>IF(DATAPENDUDUK!F27="","",DATAPENDUDUK!F27)</f>
        <v/>
      </c>
      <c r="F27" s="11" t="str">
        <f>IF(DATAPENDUDUK!H27="","",DATAPENDUDUK!H27)</f>
        <v/>
      </c>
      <c r="G27" s="10" t="str">
        <f t="shared" ca="1" si="0"/>
        <v/>
      </c>
      <c r="H27" t="str">
        <f t="shared" ca="1" si="1"/>
        <v/>
      </c>
    </row>
    <row r="28" spans="1:8" x14ac:dyDescent="0.25">
      <c r="A28" s="10" t="str">
        <f>IF(DATAPENDUDUK!A28="","",DATAPENDUDUK!A28)</f>
        <v/>
      </c>
      <c r="B28" s="13" t="str">
        <f>IF(DATAPENDUDUK!B28="","",DATAPENDUDUK!B28)</f>
        <v/>
      </c>
      <c r="C28" s="10" t="str">
        <f>IF(DATAPENDUDUK!C28="","",DATAPENDUDUK!C28)</f>
        <v/>
      </c>
      <c r="D28" s="10" t="str">
        <f>IF(DATAPENDUDUK!E28="","",DATAPENDUDUK!E28)</f>
        <v/>
      </c>
      <c r="E28" s="10" t="str">
        <f>IF(DATAPENDUDUK!F28="","",DATAPENDUDUK!F28)</f>
        <v/>
      </c>
      <c r="F28" s="11" t="str">
        <f>IF(DATAPENDUDUK!H28="","",DATAPENDUDUK!H28)</f>
        <v/>
      </c>
      <c r="G28" s="10" t="str">
        <f t="shared" ca="1" si="0"/>
        <v/>
      </c>
      <c r="H28" t="str">
        <f t="shared" ca="1" si="1"/>
        <v/>
      </c>
    </row>
    <row r="29" spans="1:8" x14ac:dyDescent="0.25">
      <c r="A29" s="10" t="str">
        <f>IF(DATAPENDUDUK!A29="","",DATAPENDUDUK!A29)</f>
        <v/>
      </c>
      <c r="B29" s="13" t="str">
        <f>IF(DATAPENDUDUK!B29="","",DATAPENDUDUK!B29)</f>
        <v/>
      </c>
      <c r="C29" s="10" t="str">
        <f>IF(DATAPENDUDUK!C29="","",DATAPENDUDUK!C29)</f>
        <v/>
      </c>
      <c r="D29" s="10" t="str">
        <f>IF(DATAPENDUDUK!E29="","",DATAPENDUDUK!E29)</f>
        <v/>
      </c>
      <c r="E29" s="10" t="str">
        <f>IF(DATAPENDUDUK!F29="","",DATAPENDUDUK!F29)</f>
        <v/>
      </c>
      <c r="F29" s="11" t="str">
        <f>IF(DATAPENDUDUK!H29="","",DATAPENDUDUK!H29)</f>
        <v/>
      </c>
      <c r="G29" s="10" t="str">
        <f t="shared" ca="1" si="0"/>
        <v/>
      </c>
      <c r="H29" t="str">
        <f t="shared" ca="1" si="1"/>
        <v/>
      </c>
    </row>
    <row r="30" spans="1:8" x14ac:dyDescent="0.25">
      <c r="A30" s="10" t="str">
        <f>IF(DATAPENDUDUK!A30="","",DATAPENDUDUK!A30)</f>
        <v/>
      </c>
      <c r="B30" s="13" t="str">
        <f>IF(DATAPENDUDUK!B30="","",DATAPENDUDUK!B30)</f>
        <v/>
      </c>
      <c r="C30" s="10" t="str">
        <f>IF(DATAPENDUDUK!C30="","",DATAPENDUDUK!C30)</f>
        <v/>
      </c>
      <c r="D30" s="10" t="str">
        <f>IF(DATAPENDUDUK!E30="","",DATAPENDUDUK!E30)</f>
        <v/>
      </c>
      <c r="E30" s="10" t="str">
        <f>IF(DATAPENDUDUK!F30="","",DATAPENDUDUK!F30)</f>
        <v/>
      </c>
      <c r="F30" s="11" t="str">
        <f>IF(DATAPENDUDUK!H30="","",DATAPENDUDUK!H30)</f>
        <v/>
      </c>
      <c r="G30" s="10" t="str">
        <f t="shared" ca="1" si="0"/>
        <v/>
      </c>
      <c r="H30" t="str">
        <f t="shared" ca="1" si="1"/>
        <v/>
      </c>
    </row>
    <row r="31" spans="1:8" x14ac:dyDescent="0.25">
      <c r="A31" s="10" t="str">
        <f>IF(DATAPENDUDUK!A31="","",DATAPENDUDUK!A31)</f>
        <v/>
      </c>
      <c r="B31" s="13" t="str">
        <f>IF(DATAPENDUDUK!B31="","",DATAPENDUDUK!B31)</f>
        <v/>
      </c>
      <c r="C31" s="10" t="str">
        <f>IF(DATAPENDUDUK!C31="","",DATAPENDUDUK!C31)</f>
        <v/>
      </c>
      <c r="D31" s="10" t="str">
        <f>IF(DATAPENDUDUK!E31="","",DATAPENDUDUK!E31)</f>
        <v/>
      </c>
      <c r="E31" s="10" t="str">
        <f>IF(DATAPENDUDUK!F31="","",DATAPENDUDUK!F31)</f>
        <v/>
      </c>
      <c r="F31" s="11" t="str">
        <f>IF(DATAPENDUDUK!H31="","",DATAPENDUDUK!H31)</f>
        <v/>
      </c>
      <c r="G31" s="10" t="str">
        <f t="shared" ca="1" si="0"/>
        <v/>
      </c>
      <c r="H31" t="str">
        <f t="shared" ca="1" si="1"/>
        <v/>
      </c>
    </row>
    <row r="32" spans="1:8" x14ac:dyDescent="0.25">
      <c r="A32" s="10" t="str">
        <f>IF(DATAPENDUDUK!A32="","",DATAPENDUDUK!A32)</f>
        <v/>
      </c>
      <c r="B32" s="13" t="str">
        <f>IF(DATAPENDUDUK!B32="","",DATAPENDUDUK!B32)</f>
        <v/>
      </c>
      <c r="C32" s="10" t="str">
        <f>IF(DATAPENDUDUK!C32="","",DATAPENDUDUK!C32)</f>
        <v/>
      </c>
      <c r="D32" s="10" t="str">
        <f>IF(DATAPENDUDUK!E32="","",DATAPENDUDUK!E32)</f>
        <v/>
      </c>
      <c r="E32" s="10" t="str">
        <f>IF(DATAPENDUDUK!F32="","",DATAPENDUDUK!F32)</f>
        <v/>
      </c>
      <c r="F32" s="11" t="str">
        <f>IF(DATAPENDUDUK!H32="","",DATAPENDUDUK!H32)</f>
        <v/>
      </c>
      <c r="G32" s="10" t="str">
        <f t="shared" ca="1" si="0"/>
        <v/>
      </c>
      <c r="H32" t="str">
        <f t="shared" ca="1" si="1"/>
        <v/>
      </c>
    </row>
    <row r="33" spans="1:8" x14ac:dyDescent="0.25">
      <c r="A33" s="10" t="str">
        <f>IF(DATAPENDUDUK!A33="","",DATAPENDUDUK!A33)</f>
        <v/>
      </c>
      <c r="B33" s="13" t="str">
        <f>IF(DATAPENDUDUK!B33="","",DATAPENDUDUK!B33)</f>
        <v/>
      </c>
      <c r="C33" s="10" t="str">
        <f>IF(DATAPENDUDUK!C33="","",DATAPENDUDUK!C33)</f>
        <v/>
      </c>
      <c r="D33" s="10" t="str">
        <f>IF(DATAPENDUDUK!E33="","",DATAPENDUDUK!E33)</f>
        <v/>
      </c>
      <c r="E33" s="10" t="str">
        <f>IF(DATAPENDUDUK!F33="","",DATAPENDUDUK!F33)</f>
        <v/>
      </c>
      <c r="F33" s="11" t="str">
        <f>IF(DATAPENDUDUK!H33="","",DATAPENDUDUK!H33)</f>
        <v/>
      </c>
      <c r="G33" s="10" t="str">
        <f t="shared" ca="1" si="0"/>
        <v/>
      </c>
      <c r="H33" t="str">
        <f t="shared" ca="1" si="1"/>
        <v/>
      </c>
    </row>
    <row r="34" spans="1:8" x14ac:dyDescent="0.25">
      <c r="A34" s="10" t="str">
        <f>IF(DATAPENDUDUK!A34="","",DATAPENDUDUK!A34)</f>
        <v/>
      </c>
      <c r="B34" s="13" t="str">
        <f>IF(DATAPENDUDUK!B34="","",DATAPENDUDUK!B34)</f>
        <v/>
      </c>
      <c r="C34" s="10" t="str">
        <f>IF(DATAPENDUDUK!C34="","",DATAPENDUDUK!C34)</f>
        <v/>
      </c>
      <c r="D34" s="10" t="str">
        <f>IF(DATAPENDUDUK!E34="","",DATAPENDUDUK!E34)</f>
        <v/>
      </c>
      <c r="E34" s="10" t="str">
        <f>IF(DATAPENDUDUK!F34="","",DATAPENDUDUK!F34)</f>
        <v/>
      </c>
      <c r="F34" s="11" t="str">
        <f>IF(DATAPENDUDUK!H34="","",DATAPENDUDUK!H34)</f>
        <v/>
      </c>
      <c r="G34" s="10" t="str">
        <f t="shared" ca="1" si="0"/>
        <v/>
      </c>
      <c r="H34" t="str">
        <f t="shared" ca="1" si="1"/>
        <v/>
      </c>
    </row>
    <row r="35" spans="1:8" x14ac:dyDescent="0.25">
      <c r="A35" s="10" t="str">
        <f>IF(DATAPENDUDUK!A35="","",DATAPENDUDUK!A35)</f>
        <v/>
      </c>
      <c r="B35" s="13" t="str">
        <f>IF(DATAPENDUDUK!B35="","",DATAPENDUDUK!B35)</f>
        <v/>
      </c>
      <c r="C35" s="10" t="str">
        <f>IF(DATAPENDUDUK!C35="","",DATAPENDUDUK!C35)</f>
        <v/>
      </c>
      <c r="D35" s="10" t="str">
        <f>IF(DATAPENDUDUK!E35="","",DATAPENDUDUK!E35)</f>
        <v/>
      </c>
      <c r="E35" s="10" t="str">
        <f>IF(DATAPENDUDUK!F35="","",DATAPENDUDUK!F35)</f>
        <v/>
      </c>
      <c r="F35" s="11" t="str">
        <f>IF(DATAPENDUDUK!H35="","",DATAPENDUDUK!H35)</f>
        <v/>
      </c>
      <c r="G35" s="10" t="str">
        <f t="shared" ca="1" si="0"/>
        <v/>
      </c>
      <c r="H35" t="str">
        <f t="shared" ca="1" si="1"/>
        <v/>
      </c>
    </row>
    <row r="36" spans="1:8" x14ac:dyDescent="0.25">
      <c r="A36" s="10" t="str">
        <f>IF(DATAPENDUDUK!A36="","",DATAPENDUDUK!A36)</f>
        <v/>
      </c>
      <c r="B36" s="13" t="str">
        <f>IF(DATAPENDUDUK!B36="","",DATAPENDUDUK!B36)</f>
        <v/>
      </c>
      <c r="C36" s="10" t="str">
        <f>IF(DATAPENDUDUK!C36="","",DATAPENDUDUK!C36)</f>
        <v/>
      </c>
      <c r="D36" s="10" t="str">
        <f>IF(DATAPENDUDUK!E36="","",DATAPENDUDUK!E36)</f>
        <v/>
      </c>
      <c r="E36" s="10" t="str">
        <f>IF(DATAPENDUDUK!F36="","",DATAPENDUDUK!F36)</f>
        <v/>
      </c>
      <c r="F36" s="11" t="str">
        <f>IF(DATAPENDUDUK!H36="","",DATAPENDUDUK!H36)</f>
        <v/>
      </c>
      <c r="G36" s="10" t="str">
        <f t="shared" ca="1" si="0"/>
        <v/>
      </c>
      <c r="H36" t="str">
        <f t="shared" ca="1" si="1"/>
        <v/>
      </c>
    </row>
    <row r="37" spans="1:8" x14ac:dyDescent="0.25">
      <c r="A37" s="10" t="str">
        <f>IF(DATAPENDUDUK!A37="","",DATAPENDUDUK!A37)</f>
        <v/>
      </c>
      <c r="B37" s="13" t="str">
        <f>IF(DATAPENDUDUK!B37="","",DATAPENDUDUK!B37)</f>
        <v/>
      </c>
      <c r="C37" s="10" t="str">
        <f>IF(DATAPENDUDUK!C37="","",DATAPENDUDUK!C37)</f>
        <v/>
      </c>
      <c r="D37" s="10" t="str">
        <f>IF(DATAPENDUDUK!E37="","",DATAPENDUDUK!E37)</f>
        <v/>
      </c>
      <c r="E37" s="10" t="str">
        <f>IF(DATAPENDUDUK!F37="","",DATAPENDUDUK!F37)</f>
        <v/>
      </c>
      <c r="F37" s="11" t="str">
        <f>IF(DATAPENDUDUK!H37="","",DATAPENDUDUK!H37)</f>
        <v/>
      </c>
      <c r="G37" s="10" t="str">
        <f t="shared" ca="1" si="0"/>
        <v/>
      </c>
      <c r="H37" t="str">
        <f t="shared" ca="1" si="1"/>
        <v/>
      </c>
    </row>
    <row r="38" spans="1:8" x14ac:dyDescent="0.25">
      <c r="A38" s="10" t="str">
        <f>IF(DATAPENDUDUK!A38="","",DATAPENDUDUK!A38)</f>
        <v/>
      </c>
      <c r="B38" s="13" t="str">
        <f>IF(DATAPENDUDUK!B38="","",DATAPENDUDUK!B38)</f>
        <v/>
      </c>
      <c r="C38" s="10" t="str">
        <f>IF(DATAPENDUDUK!C38="","",DATAPENDUDUK!C38)</f>
        <v/>
      </c>
      <c r="D38" s="10" t="str">
        <f>IF(DATAPENDUDUK!E38="","",DATAPENDUDUK!E38)</f>
        <v/>
      </c>
      <c r="E38" s="10" t="str">
        <f>IF(DATAPENDUDUK!F38="","",DATAPENDUDUK!F38)</f>
        <v/>
      </c>
      <c r="F38" s="11" t="str">
        <f>IF(DATAPENDUDUK!H38="","",DATAPENDUDUK!H38)</f>
        <v/>
      </c>
      <c r="G38" s="10" t="str">
        <f t="shared" ca="1" si="0"/>
        <v/>
      </c>
      <c r="H38" t="str">
        <f t="shared" ca="1" si="1"/>
        <v/>
      </c>
    </row>
    <row r="39" spans="1:8" x14ac:dyDescent="0.25">
      <c r="A39" s="10" t="str">
        <f>IF(DATAPENDUDUK!A39="","",DATAPENDUDUK!A39)</f>
        <v/>
      </c>
      <c r="B39" s="13" t="str">
        <f>IF(DATAPENDUDUK!B39="","",DATAPENDUDUK!B39)</f>
        <v/>
      </c>
      <c r="C39" s="10" t="str">
        <f>IF(DATAPENDUDUK!C39="","",DATAPENDUDUK!C39)</f>
        <v/>
      </c>
      <c r="D39" s="10" t="str">
        <f>IF(DATAPENDUDUK!E39="","",DATAPENDUDUK!E39)</f>
        <v/>
      </c>
      <c r="E39" s="10" t="str">
        <f>IF(DATAPENDUDUK!F39="","",DATAPENDUDUK!F39)</f>
        <v/>
      </c>
      <c r="F39" s="11" t="str">
        <f>IF(DATAPENDUDUK!H39="","",DATAPENDUDUK!H39)</f>
        <v/>
      </c>
      <c r="G39" s="10" t="str">
        <f t="shared" ca="1" si="0"/>
        <v/>
      </c>
      <c r="H39" t="str">
        <f t="shared" ca="1" si="1"/>
        <v/>
      </c>
    </row>
    <row r="40" spans="1:8" x14ac:dyDescent="0.25">
      <c r="A40" s="10" t="str">
        <f>IF(DATAPENDUDUK!A40="","",DATAPENDUDUK!A40)</f>
        <v/>
      </c>
      <c r="B40" s="13" t="str">
        <f>IF(DATAPENDUDUK!B40="","",DATAPENDUDUK!B40)</f>
        <v/>
      </c>
      <c r="C40" s="10" t="str">
        <f>IF(DATAPENDUDUK!C40="","",DATAPENDUDUK!C40)</f>
        <v/>
      </c>
      <c r="D40" s="10" t="str">
        <f>IF(DATAPENDUDUK!E40="","",DATAPENDUDUK!E40)</f>
        <v/>
      </c>
      <c r="E40" s="10" t="str">
        <f>IF(DATAPENDUDUK!F40="","",DATAPENDUDUK!F40)</f>
        <v/>
      </c>
      <c r="F40" s="11" t="str">
        <f>IF(DATAPENDUDUK!H40="","",DATAPENDUDUK!H40)</f>
        <v/>
      </c>
      <c r="G40" s="10" t="str">
        <f t="shared" ca="1" si="0"/>
        <v/>
      </c>
      <c r="H40" t="str">
        <f t="shared" ca="1" si="1"/>
        <v/>
      </c>
    </row>
    <row r="41" spans="1:8" x14ac:dyDescent="0.25">
      <c r="A41" s="10" t="str">
        <f>IF(DATAPENDUDUK!A41="","",DATAPENDUDUK!A41)</f>
        <v/>
      </c>
      <c r="B41" s="13" t="str">
        <f>IF(DATAPENDUDUK!B41="","",DATAPENDUDUK!B41)</f>
        <v/>
      </c>
      <c r="C41" s="10" t="str">
        <f>IF(DATAPENDUDUK!C41="","",DATAPENDUDUK!C41)</f>
        <v/>
      </c>
      <c r="D41" s="10" t="str">
        <f>IF(DATAPENDUDUK!E41="","",DATAPENDUDUK!E41)</f>
        <v/>
      </c>
      <c r="E41" s="10" t="str">
        <f>IF(DATAPENDUDUK!F41="","",DATAPENDUDUK!F41)</f>
        <v/>
      </c>
      <c r="F41" s="11" t="str">
        <f>IF(DATAPENDUDUK!H41="","",DATAPENDUDUK!H41)</f>
        <v/>
      </c>
      <c r="G41" s="10" t="str">
        <f t="shared" ca="1" si="0"/>
        <v/>
      </c>
      <c r="H41" t="str">
        <f t="shared" ca="1" si="1"/>
        <v/>
      </c>
    </row>
    <row r="42" spans="1:8" x14ac:dyDescent="0.25">
      <c r="A42" s="10" t="str">
        <f>IF(DATAPENDUDUK!A42="","",DATAPENDUDUK!A42)</f>
        <v/>
      </c>
      <c r="B42" s="13" t="str">
        <f>IF(DATAPENDUDUK!B42="","",DATAPENDUDUK!B42)</f>
        <v/>
      </c>
      <c r="C42" s="10" t="str">
        <f>IF(DATAPENDUDUK!C42="","",DATAPENDUDUK!C42)</f>
        <v/>
      </c>
      <c r="D42" s="10" t="str">
        <f>IF(DATAPENDUDUK!E42="","",DATAPENDUDUK!E42)</f>
        <v/>
      </c>
      <c r="E42" s="10" t="str">
        <f>IF(DATAPENDUDUK!F42="","",DATAPENDUDUK!F42)</f>
        <v/>
      </c>
      <c r="F42" s="11" t="str">
        <f>IF(DATAPENDUDUK!H42="","",DATAPENDUDUK!H42)</f>
        <v/>
      </c>
      <c r="G42" s="10" t="str">
        <f t="shared" ca="1" si="0"/>
        <v/>
      </c>
      <c r="H42" t="str">
        <f t="shared" ca="1" si="1"/>
        <v/>
      </c>
    </row>
    <row r="43" spans="1:8" x14ac:dyDescent="0.25">
      <c r="A43" s="10" t="str">
        <f>IF(DATAPENDUDUK!A43="","",DATAPENDUDUK!A43)</f>
        <v/>
      </c>
      <c r="B43" s="13" t="str">
        <f>IF(DATAPENDUDUK!B43="","",DATAPENDUDUK!B43)</f>
        <v/>
      </c>
      <c r="C43" s="10" t="str">
        <f>IF(DATAPENDUDUK!C43="","",DATAPENDUDUK!C43)</f>
        <v/>
      </c>
      <c r="D43" s="10" t="str">
        <f>IF(DATAPENDUDUK!E43="","",DATAPENDUDUK!E43)</f>
        <v/>
      </c>
      <c r="E43" s="10" t="str">
        <f>IF(DATAPENDUDUK!F43="","",DATAPENDUDUK!F43)</f>
        <v/>
      </c>
      <c r="F43" s="11" t="str">
        <f>IF(DATAPENDUDUK!H43="","",DATAPENDUDUK!H43)</f>
        <v/>
      </c>
      <c r="G43" s="10" t="str">
        <f t="shared" ca="1" si="0"/>
        <v/>
      </c>
      <c r="H43" t="str">
        <f t="shared" ca="1" si="1"/>
        <v/>
      </c>
    </row>
    <row r="44" spans="1:8" x14ac:dyDescent="0.25">
      <c r="A44" s="10" t="str">
        <f>IF(DATAPENDUDUK!A44="","",DATAPENDUDUK!A44)</f>
        <v/>
      </c>
      <c r="B44" s="13" t="str">
        <f>IF(DATAPENDUDUK!B44="","",DATAPENDUDUK!B44)</f>
        <v/>
      </c>
      <c r="C44" s="10" t="str">
        <f>IF(DATAPENDUDUK!C44="","",DATAPENDUDUK!C44)</f>
        <v/>
      </c>
      <c r="D44" s="10" t="str">
        <f>IF(DATAPENDUDUK!E44="","",DATAPENDUDUK!E44)</f>
        <v/>
      </c>
      <c r="E44" s="10" t="str">
        <f>IF(DATAPENDUDUK!F44="","",DATAPENDUDUK!F44)</f>
        <v/>
      </c>
      <c r="F44" s="11" t="str">
        <f>IF(DATAPENDUDUK!H44="","",DATAPENDUDUK!H44)</f>
        <v/>
      </c>
      <c r="G44" s="10" t="str">
        <f t="shared" ca="1" si="0"/>
        <v/>
      </c>
      <c r="H44" t="str">
        <f t="shared" ca="1" si="1"/>
        <v/>
      </c>
    </row>
    <row r="45" spans="1:8" x14ac:dyDescent="0.25">
      <c r="A45" s="10" t="str">
        <f>IF(DATAPENDUDUK!A45="","",DATAPENDUDUK!A45)</f>
        <v/>
      </c>
      <c r="B45" s="13" t="str">
        <f>IF(DATAPENDUDUK!B45="","",DATAPENDUDUK!B45)</f>
        <v/>
      </c>
      <c r="C45" s="10" t="str">
        <f>IF(DATAPENDUDUK!C45="","",DATAPENDUDUK!C45)</f>
        <v/>
      </c>
      <c r="D45" s="10" t="str">
        <f>IF(DATAPENDUDUK!E45="","",DATAPENDUDUK!E45)</f>
        <v/>
      </c>
      <c r="E45" s="10" t="str">
        <f>IF(DATAPENDUDUK!F45="","",DATAPENDUDUK!F45)</f>
        <v/>
      </c>
      <c r="F45" s="11" t="str">
        <f>IF(DATAPENDUDUK!H45="","",DATAPENDUDUK!H45)</f>
        <v/>
      </c>
      <c r="G45" s="10" t="str">
        <f t="shared" ca="1" si="0"/>
        <v/>
      </c>
      <c r="H45" t="str">
        <f t="shared" ca="1" si="1"/>
        <v/>
      </c>
    </row>
    <row r="46" spans="1:8" x14ac:dyDescent="0.25">
      <c r="A46" s="10" t="str">
        <f>IF(DATAPENDUDUK!A46="","",DATAPENDUDUK!A46)</f>
        <v/>
      </c>
      <c r="B46" s="13" t="str">
        <f>IF(DATAPENDUDUK!B46="","",DATAPENDUDUK!B46)</f>
        <v/>
      </c>
      <c r="C46" s="10" t="str">
        <f>IF(DATAPENDUDUK!C46="","",DATAPENDUDUK!C46)</f>
        <v/>
      </c>
      <c r="D46" s="10" t="str">
        <f>IF(DATAPENDUDUK!E46="","",DATAPENDUDUK!E46)</f>
        <v/>
      </c>
      <c r="E46" s="10" t="str">
        <f>IF(DATAPENDUDUK!F46="","",DATAPENDUDUK!F46)</f>
        <v/>
      </c>
      <c r="F46" s="11" t="str">
        <f>IF(DATAPENDUDUK!H46="","",DATAPENDUDUK!H46)</f>
        <v/>
      </c>
      <c r="G46" s="10" t="str">
        <f t="shared" ca="1" si="0"/>
        <v/>
      </c>
      <c r="H46" t="str">
        <f t="shared" ca="1" si="1"/>
        <v/>
      </c>
    </row>
    <row r="47" spans="1:8" x14ac:dyDescent="0.25">
      <c r="A47" s="10" t="str">
        <f>IF(DATAPENDUDUK!A47="","",DATAPENDUDUK!A47)</f>
        <v/>
      </c>
      <c r="B47" s="13" t="str">
        <f>IF(DATAPENDUDUK!B47="","",DATAPENDUDUK!B47)</f>
        <v/>
      </c>
      <c r="C47" s="10" t="str">
        <f>IF(DATAPENDUDUK!C47="","",DATAPENDUDUK!C47)</f>
        <v/>
      </c>
      <c r="D47" s="10" t="str">
        <f>IF(DATAPENDUDUK!E47="","",DATAPENDUDUK!E47)</f>
        <v/>
      </c>
      <c r="E47" s="10" t="str">
        <f>IF(DATAPENDUDUK!F47="","",DATAPENDUDUK!F47)</f>
        <v/>
      </c>
      <c r="F47" s="11" t="str">
        <f>IF(DATAPENDUDUK!H47="","",DATAPENDUDUK!H47)</f>
        <v/>
      </c>
      <c r="G47" s="10" t="str">
        <f t="shared" ca="1" si="0"/>
        <v/>
      </c>
      <c r="H47" t="str">
        <f t="shared" ca="1" si="1"/>
        <v/>
      </c>
    </row>
    <row r="48" spans="1:8" x14ac:dyDescent="0.25">
      <c r="A48" s="10" t="str">
        <f>IF(DATAPENDUDUK!A48="","",DATAPENDUDUK!A48)</f>
        <v/>
      </c>
      <c r="B48" s="13" t="str">
        <f>IF(DATAPENDUDUK!B48="","",DATAPENDUDUK!B48)</f>
        <v/>
      </c>
      <c r="C48" s="10" t="str">
        <f>IF(DATAPENDUDUK!C48="","",DATAPENDUDUK!C48)</f>
        <v/>
      </c>
      <c r="D48" s="10" t="str">
        <f>IF(DATAPENDUDUK!E48="","",DATAPENDUDUK!E48)</f>
        <v/>
      </c>
      <c r="E48" s="10" t="str">
        <f>IF(DATAPENDUDUK!F48="","",DATAPENDUDUK!F48)</f>
        <v/>
      </c>
      <c r="F48" s="11" t="str">
        <f>IF(DATAPENDUDUK!H48="","",DATAPENDUDUK!H48)</f>
        <v/>
      </c>
      <c r="G48" s="10" t="str">
        <f t="shared" ca="1" si="0"/>
        <v/>
      </c>
      <c r="H48" t="str">
        <f t="shared" ca="1" si="1"/>
        <v/>
      </c>
    </row>
    <row r="49" spans="1:8" x14ac:dyDescent="0.25">
      <c r="A49" s="10" t="str">
        <f>IF(DATAPENDUDUK!A49="","",DATAPENDUDUK!A49)</f>
        <v/>
      </c>
      <c r="B49" s="13" t="str">
        <f>IF(DATAPENDUDUK!B49="","",DATAPENDUDUK!B49)</f>
        <v/>
      </c>
      <c r="C49" s="10" t="str">
        <f>IF(DATAPENDUDUK!C49="","",DATAPENDUDUK!C49)</f>
        <v/>
      </c>
      <c r="D49" s="10" t="str">
        <f>IF(DATAPENDUDUK!E49="","",DATAPENDUDUK!E49)</f>
        <v/>
      </c>
      <c r="E49" s="10" t="str">
        <f>IF(DATAPENDUDUK!F49="","",DATAPENDUDUK!F49)</f>
        <v/>
      </c>
      <c r="F49" s="11" t="str">
        <f>IF(DATAPENDUDUK!H49="","",DATAPENDUDUK!H49)</f>
        <v/>
      </c>
      <c r="G49" s="10" t="str">
        <f t="shared" ca="1" si="0"/>
        <v/>
      </c>
      <c r="H49" t="str">
        <f t="shared" ca="1" si="1"/>
        <v/>
      </c>
    </row>
    <row r="50" spans="1:8" x14ac:dyDescent="0.25">
      <c r="A50" s="10" t="str">
        <f>IF(DATAPENDUDUK!A50="","",DATAPENDUDUK!A50)</f>
        <v/>
      </c>
      <c r="B50" s="13" t="str">
        <f>IF(DATAPENDUDUK!B50="","",DATAPENDUDUK!B50)</f>
        <v/>
      </c>
      <c r="C50" s="10" t="str">
        <f>IF(DATAPENDUDUK!C50="","",DATAPENDUDUK!C50)</f>
        <v/>
      </c>
      <c r="D50" s="10" t="str">
        <f>IF(DATAPENDUDUK!E50="","",DATAPENDUDUK!E50)</f>
        <v/>
      </c>
      <c r="E50" s="10" t="str">
        <f>IF(DATAPENDUDUK!F50="","",DATAPENDUDUK!F50)</f>
        <v/>
      </c>
      <c r="F50" s="11" t="str">
        <f>IF(DATAPENDUDUK!H50="","",DATAPENDUDUK!H50)</f>
        <v/>
      </c>
      <c r="G50" s="10" t="str">
        <f t="shared" ca="1" si="0"/>
        <v/>
      </c>
      <c r="H50" t="str">
        <f t="shared" ca="1" si="1"/>
        <v/>
      </c>
    </row>
    <row r="51" spans="1:8" x14ac:dyDescent="0.25">
      <c r="A51" s="10" t="str">
        <f>IF(DATAPENDUDUK!A51="","",DATAPENDUDUK!A51)</f>
        <v/>
      </c>
      <c r="B51" s="13" t="str">
        <f>IF(DATAPENDUDUK!B51="","",DATAPENDUDUK!B51)</f>
        <v/>
      </c>
      <c r="C51" s="10" t="str">
        <f>IF(DATAPENDUDUK!C51="","",DATAPENDUDUK!C51)</f>
        <v/>
      </c>
      <c r="D51" s="10" t="str">
        <f>IF(DATAPENDUDUK!E51="","",DATAPENDUDUK!E51)</f>
        <v/>
      </c>
      <c r="E51" s="10" t="str">
        <f>IF(DATAPENDUDUK!F51="","",DATAPENDUDUK!F51)</f>
        <v/>
      </c>
      <c r="F51" s="11" t="str">
        <f>IF(DATAPENDUDUK!H51="","",DATAPENDUDUK!H51)</f>
        <v/>
      </c>
      <c r="G51" s="10" t="str">
        <f t="shared" ca="1" si="0"/>
        <v/>
      </c>
      <c r="H51" t="str">
        <f t="shared" ca="1" si="1"/>
        <v/>
      </c>
    </row>
    <row r="52" spans="1:8" x14ac:dyDescent="0.25">
      <c r="A52" s="10" t="str">
        <f>IF(DATAPENDUDUK!A52="","",DATAPENDUDUK!A52)</f>
        <v/>
      </c>
      <c r="B52" s="13" t="str">
        <f>IF(DATAPENDUDUK!B52="","",DATAPENDUDUK!B52)</f>
        <v/>
      </c>
      <c r="C52" s="10" t="str">
        <f>IF(DATAPENDUDUK!C52="","",DATAPENDUDUK!C52)</f>
        <v/>
      </c>
      <c r="D52" s="10" t="str">
        <f>IF(DATAPENDUDUK!E52="","",DATAPENDUDUK!E52)</f>
        <v/>
      </c>
      <c r="E52" s="10" t="str">
        <f>IF(DATAPENDUDUK!F52="","",DATAPENDUDUK!F52)</f>
        <v/>
      </c>
      <c r="F52" s="11" t="str">
        <f>IF(DATAPENDUDUK!H52="","",DATAPENDUDUK!H52)</f>
        <v/>
      </c>
      <c r="G52" s="10" t="str">
        <f t="shared" ca="1" si="0"/>
        <v/>
      </c>
      <c r="H52" t="str">
        <f t="shared" ca="1" si="1"/>
        <v/>
      </c>
    </row>
    <row r="53" spans="1:8" x14ac:dyDescent="0.25">
      <c r="A53" s="10" t="str">
        <f>IF(DATAPENDUDUK!A53="","",DATAPENDUDUK!A53)</f>
        <v/>
      </c>
      <c r="B53" s="13" t="str">
        <f>IF(DATAPENDUDUK!B53="","",DATAPENDUDUK!B53)</f>
        <v/>
      </c>
      <c r="C53" s="10" t="str">
        <f>IF(DATAPENDUDUK!C53="","",DATAPENDUDUK!C53)</f>
        <v/>
      </c>
      <c r="D53" s="10" t="str">
        <f>IF(DATAPENDUDUK!E53="","",DATAPENDUDUK!E53)</f>
        <v/>
      </c>
      <c r="E53" s="10" t="str">
        <f>IF(DATAPENDUDUK!F53="","",DATAPENDUDUK!F53)</f>
        <v/>
      </c>
      <c r="F53" s="11" t="str">
        <f>IF(DATAPENDUDUK!H53="","",DATAPENDUDUK!H53)</f>
        <v/>
      </c>
      <c r="G53" s="10" t="str">
        <f t="shared" ca="1" si="0"/>
        <v/>
      </c>
      <c r="H53" t="str">
        <f t="shared" ca="1" si="1"/>
        <v/>
      </c>
    </row>
    <row r="54" spans="1:8" x14ac:dyDescent="0.25">
      <c r="A54" s="10" t="str">
        <f>IF(DATAPENDUDUK!A54="","",DATAPENDUDUK!A54)</f>
        <v/>
      </c>
      <c r="B54" s="13" t="str">
        <f>IF(DATAPENDUDUK!B54="","",DATAPENDUDUK!B54)</f>
        <v/>
      </c>
      <c r="C54" s="10" t="str">
        <f>IF(DATAPENDUDUK!C54="","",DATAPENDUDUK!C54)</f>
        <v/>
      </c>
      <c r="D54" s="10" t="str">
        <f>IF(DATAPENDUDUK!E54="","",DATAPENDUDUK!E54)</f>
        <v/>
      </c>
      <c r="E54" s="10" t="str">
        <f>IF(DATAPENDUDUK!F54="","",DATAPENDUDUK!F54)</f>
        <v/>
      </c>
      <c r="F54" s="11" t="str">
        <f>IF(DATAPENDUDUK!H54="","",DATAPENDUDUK!H54)</f>
        <v/>
      </c>
      <c r="G54" s="10" t="str">
        <f t="shared" ca="1" si="0"/>
        <v/>
      </c>
      <c r="H54" t="str">
        <f t="shared" ca="1" si="1"/>
        <v/>
      </c>
    </row>
    <row r="55" spans="1:8" x14ac:dyDescent="0.25">
      <c r="A55" s="10" t="str">
        <f>IF(DATAPENDUDUK!A55="","",DATAPENDUDUK!A55)</f>
        <v/>
      </c>
      <c r="B55" s="13" t="str">
        <f>IF(DATAPENDUDUK!B55="","",DATAPENDUDUK!B55)</f>
        <v/>
      </c>
      <c r="C55" s="10" t="str">
        <f>IF(DATAPENDUDUK!C55="","",DATAPENDUDUK!C55)</f>
        <v/>
      </c>
      <c r="D55" s="10" t="str">
        <f>IF(DATAPENDUDUK!E55="","",DATAPENDUDUK!E55)</f>
        <v/>
      </c>
      <c r="E55" s="10" t="str">
        <f>IF(DATAPENDUDUK!F55="","",DATAPENDUDUK!F55)</f>
        <v/>
      </c>
      <c r="F55" s="11" t="str">
        <f>IF(DATAPENDUDUK!H55="","",DATAPENDUDUK!H55)</f>
        <v/>
      </c>
      <c r="G55" s="10" t="str">
        <f t="shared" ca="1" si="0"/>
        <v/>
      </c>
      <c r="H55" t="str">
        <f t="shared" ca="1" si="1"/>
        <v/>
      </c>
    </row>
    <row r="56" spans="1:8" x14ac:dyDescent="0.25">
      <c r="A56" s="10" t="str">
        <f>IF(DATAPENDUDUK!A56="","",DATAPENDUDUK!A56)</f>
        <v/>
      </c>
      <c r="B56" s="13" t="str">
        <f>IF(DATAPENDUDUK!B56="","",DATAPENDUDUK!B56)</f>
        <v/>
      </c>
      <c r="C56" s="10" t="str">
        <f>IF(DATAPENDUDUK!C56="","",DATAPENDUDUK!C56)</f>
        <v/>
      </c>
      <c r="D56" s="10" t="str">
        <f>IF(DATAPENDUDUK!E56="","",DATAPENDUDUK!E56)</f>
        <v/>
      </c>
      <c r="E56" s="10" t="str">
        <f>IF(DATAPENDUDUK!F56="","",DATAPENDUDUK!F56)</f>
        <v/>
      </c>
      <c r="F56" s="11" t="str">
        <f>IF(DATAPENDUDUK!H56="","",DATAPENDUDUK!H56)</f>
        <v/>
      </c>
      <c r="G56" s="10" t="str">
        <f t="shared" ca="1" si="0"/>
        <v/>
      </c>
      <c r="H56" t="str">
        <f t="shared" ca="1" si="1"/>
        <v/>
      </c>
    </row>
    <row r="57" spans="1:8" x14ac:dyDescent="0.25">
      <c r="A57" s="10" t="str">
        <f>IF(DATAPENDUDUK!A57="","",DATAPENDUDUK!A57)</f>
        <v/>
      </c>
      <c r="B57" s="13" t="str">
        <f>IF(DATAPENDUDUK!B57="","",DATAPENDUDUK!B57)</f>
        <v/>
      </c>
      <c r="C57" s="10" t="str">
        <f>IF(DATAPENDUDUK!C57="","",DATAPENDUDUK!C57)</f>
        <v/>
      </c>
      <c r="D57" s="10" t="str">
        <f>IF(DATAPENDUDUK!E57="","",DATAPENDUDUK!E57)</f>
        <v/>
      </c>
      <c r="E57" s="10" t="str">
        <f>IF(DATAPENDUDUK!F57="","",DATAPENDUDUK!F57)</f>
        <v/>
      </c>
      <c r="F57" s="11" t="str">
        <f>IF(DATAPENDUDUK!H57="","",DATAPENDUDUK!H57)</f>
        <v/>
      </c>
      <c r="G57" s="10" t="str">
        <f t="shared" ca="1" si="0"/>
        <v/>
      </c>
      <c r="H57" t="str">
        <f t="shared" ca="1" si="1"/>
        <v/>
      </c>
    </row>
    <row r="58" spans="1:8" x14ac:dyDescent="0.25">
      <c r="A58" s="10" t="str">
        <f>IF(DATAPENDUDUK!A58="","",DATAPENDUDUK!A58)</f>
        <v/>
      </c>
      <c r="B58" s="13" t="str">
        <f>IF(DATAPENDUDUK!B58="","",DATAPENDUDUK!B58)</f>
        <v/>
      </c>
      <c r="C58" s="10" t="str">
        <f>IF(DATAPENDUDUK!C58="","",DATAPENDUDUK!C58)</f>
        <v/>
      </c>
      <c r="D58" s="10" t="str">
        <f>IF(DATAPENDUDUK!E58="","",DATAPENDUDUK!E58)</f>
        <v/>
      </c>
      <c r="E58" s="10" t="str">
        <f>IF(DATAPENDUDUK!F58="","",DATAPENDUDUK!F58)</f>
        <v/>
      </c>
      <c r="F58" s="11" t="str">
        <f>IF(DATAPENDUDUK!H58="","",DATAPENDUDUK!H58)</f>
        <v/>
      </c>
      <c r="G58" s="10" t="str">
        <f t="shared" ca="1" si="0"/>
        <v/>
      </c>
      <c r="H58" t="str">
        <f t="shared" ca="1" si="1"/>
        <v/>
      </c>
    </row>
    <row r="59" spans="1:8" x14ac:dyDescent="0.25">
      <c r="A59" s="10" t="str">
        <f>IF(DATAPENDUDUK!A59="","",DATAPENDUDUK!A59)</f>
        <v/>
      </c>
      <c r="B59" s="13" t="str">
        <f>IF(DATAPENDUDUK!B59="","",DATAPENDUDUK!B59)</f>
        <v/>
      </c>
      <c r="C59" s="10" t="str">
        <f>IF(DATAPENDUDUK!C59="","",DATAPENDUDUK!C59)</f>
        <v/>
      </c>
      <c r="D59" s="10" t="str">
        <f>IF(DATAPENDUDUK!E59="","",DATAPENDUDUK!E59)</f>
        <v/>
      </c>
      <c r="E59" s="10" t="str">
        <f>IF(DATAPENDUDUK!F59="","",DATAPENDUDUK!F59)</f>
        <v/>
      </c>
      <c r="F59" s="11" t="str">
        <f>IF(DATAPENDUDUK!H59="","",DATAPENDUDUK!H59)</f>
        <v/>
      </c>
      <c r="G59" s="10" t="str">
        <f t="shared" ca="1" si="0"/>
        <v/>
      </c>
      <c r="H59" t="str">
        <f t="shared" ca="1" si="1"/>
        <v/>
      </c>
    </row>
    <row r="60" spans="1:8" x14ac:dyDescent="0.25">
      <c r="A60" s="10" t="str">
        <f>IF(DATAPENDUDUK!A60="","",DATAPENDUDUK!A60)</f>
        <v/>
      </c>
      <c r="B60" s="13" t="str">
        <f>IF(DATAPENDUDUK!B60="","",DATAPENDUDUK!B60)</f>
        <v/>
      </c>
      <c r="C60" s="10" t="str">
        <f>IF(DATAPENDUDUK!C60="","",DATAPENDUDUK!C60)</f>
        <v/>
      </c>
      <c r="D60" s="10" t="str">
        <f>IF(DATAPENDUDUK!E60="","",DATAPENDUDUK!E60)</f>
        <v/>
      </c>
      <c r="E60" s="10" t="str">
        <f>IF(DATAPENDUDUK!F60="","",DATAPENDUDUK!F60)</f>
        <v/>
      </c>
      <c r="F60" s="11" t="str">
        <f>IF(DATAPENDUDUK!H60="","",DATAPENDUDUK!H60)</f>
        <v/>
      </c>
      <c r="G60" s="10" t="str">
        <f t="shared" ca="1" si="0"/>
        <v/>
      </c>
      <c r="H60" t="str">
        <f t="shared" ca="1" si="1"/>
        <v/>
      </c>
    </row>
    <row r="61" spans="1:8" x14ac:dyDescent="0.25">
      <c r="A61" s="10" t="str">
        <f>IF(DATAPENDUDUK!A61="","",DATAPENDUDUK!A61)</f>
        <v/>
      </c>
      <c r="B61" s="13" t="str">
        <f>IF(DATAPENDUDUK!B61="","",DATAPENDUDUK!B61)</f>
        <v/>
      </c>
      <c r="C61" s="10" t="str">
        <f>IF(DATAPENDUDUK!C61="","",DATAPENDUDUK!C61)</f>
        <v/>
      </c>
      <c r="D61" s="10" t="str">
        <f>IF(DATAPENDUDUK!E61="","",DATAPENDUDUK!E61)</f>
        <v/>
      </c>
      <c r="E61" s="10" t="str">
        <f>IF(DATAPENDUDUK!F61="","",DATAPENDUDUK!F61)</f>
        <v/>
      </c>
      <c r="F61" s="11" t="str">
        <f>IF(DATAPENDUDUK!H61="","",DATAPENDUDUK!H61)</f>
        <v/>
      </c>
      <c r="G61" s="10" t="str">
        <f t="shared" ca="1" si="0"/>
        <v/>
      </c>
      <c r="H61" t="str">
        <f t="shared" ca="1" si="1"/>
        <v/>
      </c>
    </row>
    <row r="62" spans="1:8" x14ac:dyDescent="0.25">
      <c r="A62" s="10" t="str">
        <f>IF(DATAPENDUDUK!A62="","",DATAPENDUDUK!A62)</f>
        <v/>
      </c>
      <c r="B62" s="13" t="str">
        <f>IF(DATAPENDUDUK!B62="","",DATAPENDUDUK!B62)</f>
        <v/>
      </c>
      <c r="C62" s="10" t="str">
        <f>IF(DATAPENDUDUK!C62="","",DATAPENDUDUK!C62)</f>
        <v/>
      </c>
      <c r="D62" s="10" t="str">
        <f>IF(DATAPENDUDUK!E62="","",DATAPENDUDUK!E62)</f>
        <v/>
      </c>
      <c r="E62" s="10" t="str">
        <f>IF(DATAPENDUDUK!F62="","",DATAPENDUDUK!F62)</f>
        <v/>
      </c>
      <c r="F62" s="11" t="str">
        <f>IF(DATAPENDUDUK!H62="","",DATAPENDUDUK!H62)</f>
        <v/>
      </c>
      <c r="G62" s="10" t="str">
        <f t="shared" ca="1" si="0"/>
        <v/>
      </c>
      <c r="H62" t="str">
        <f t="shared" ca="1" si="1"/>
        <v/>
      </c>
    </row>
    <row r="63" spans="1:8" x14ac:dyDescent="0.25">
      <c r="A63" s="10" t="str">
        <f>IF(DATAPENDUDUK!A63="","",DATAPENDUDUK!A63)</f>
        <v/>
      </c>
      <c r="B63" s="13" t="str">
        <f>IF(DATAPENDUDUK!B63="","",DATAPENDUDUK!B63)</f>
        <v/>
      </c>
      <c r="C63" s="10" t="str">
        <f>IF(DATAPENDUDUK!C63="","",DATAPENDUDUK!C63)</f>
        <v/>
      </c>
      <c r="D63" s="10" t="str">
        <f>IF(DATAPENDUDUK!E63="","",DATAPENDUDUK!E63)</f>
        <v/>
      </c>
      <c r="E63" s="10" t="str">
        <f>IF(DATAPENDUDUK!F63="","",DATAPENDUDUK!F63)</f>
        <v/>
      </c>
      <c r="F63" s="11" t="str">
        <f>IF(DATAPENDUDUK!H63="","",DATAPENDUDUK!H63)</f>
        <v/>
      </c>
      <c r="G63" s="10" t="str">
        <f t="shared" ca="1" si="0"/>
        <v/>
      </c>
      <c r="H63" t="str">
        <f t="shared" ca="1" si="1"/>
        <v/>
      </c>
    </row>
    <row r="64" spans="1:8" x14ac:dyDescent="0.25">
      <c r="A64" s="10" t="str">
        <f>IF(DATAPENDUDUK!A64="","",DATAPENDUDUK!A64)</f>
        <v/>
      </c>
      <c r="B64" s="13" t="str">
        <f>IF(DATAPENDUDUK!B64="","",DATAPENDUDUK!B64)</f>
        <v/>
      </c>
      <c r="C64" s="10" t="str">
        <f>IF(DATAPENDUDUK!C64="","",DATAPENDUDUK!C64)</f>
        <v/>
      </c>
      <c r="D64" s="10" t="str">
        <f>IF(DATAPENDUDUK!E64="","",DATAPENDUDUK!E64)</f>
        <v/>
      </c>
      <c r="E64" s="10" t="str">
        <f>IF(DATAPENDUDUK!F64="","",DATAPENDUDUK!F64)</f>
        <v/>
      </c>
      <c r="F64" s="11" t="str">
        <f>IF(DATAPENDUDUK!H64="","",DATAPENDUDUK!H64)</f>
        <v/>
      </c>
      <c r="G64" s="10" t="str">
        <f t="shared" ca="1" si="0"/>
        <v/>
      </c>
      <c r="H64" t="str">
        <f t="shared" ca="1" si="1"/>
        <v/>
      </c>
    </row>
    <row r="65" spans="1:8" x14ac:dyDescent="0.25">
      <c r="A65" s="10" t="str">
        <f>IF(DATAPENDUDUK!A65="","",DATAPENDUDUK!A65)</f>
        <v/>
      </c>
      <c r="B65" s="13" t="str">
        <f>IF(DATAPENDUDUK!B65="","",DATAPENDUDUK!B65)</f>
        <v/>
      </c>
      <c r="C65" s="10" t="str">
        <f>IF(DATAPENDUDUK!C65="","",DATAPENDUDUK!C65)</f>
        <v/>
      </c>
      <c r="D65" s="10" t="str">
        <f>IF(DATAPENDUDUK!E65="","",DATAPENDUDUK!E65)</f>
        <v/>
      </c>
      <c r="E65" s="10" t="str">
        <f>IF(DATAPENDUDUK!F65="","",DATAPENDUDUK!F65)</f>
        <v/>
      </c>
      <c r="F65" s="11" t="str">
        <f>IF(DATAPENDUDUK!H65="","",DATAPENDUDUK!H65)</f>
        <v/>
      </c>
      <c r="G65" s="10" t="str">
        <f t="shared" ca="1" si="0"/>
        <v/>
      </c>
      <c r="H65" t="str">
        <f t="shared" ca="1" si="1"/>
        <v/>
      </c>
    </row>
    <row r="66" spans="1:8" x14ac:dyDescent="0.25">
      <c r="A66" s="10" t="str">
        <f>IF(DATAPENDUDUK!A66="","",DATAPENDUDUK!A66)</f>
        <v/>
      </c>
      <c r="B66" s="13" t="str">
        <f>IF(DATAPENDUDUK!B66="","",DATAPENDUDUK!B66)</f>
        <v/>
      </c>
      <c r="C66" s="10" t="str">
        <f>IF(DATAPENDUDUK!C66="","",DATAPENDUDUK!C66)</f>
        <v/>
      </c>
      <c r="D66" s="10" t="str">
        <f>IF(DATAPENDUDUK!E66="","",DATAPENDUDUK!E66)</f>
        <v/>
      </c>
      <c r="E66" s="10" t="str">
        <f>IF(DATAPENDUDUK!F66="","",DATAPENDUDUK!F66)</f>
        <v/>
      </c>
      <c r="F66" s="11" t="str">
        <f>IF(DATAPENDUDUK!H66="","",DATAPENDUDUK!H66)</f>
        <v/>
      </c>
      <c r="G66" s="10" t="str">
        <f t="shared" ca="1" si="0"/>
        <v/>
      </c>
      <c r="H66" t="str">
        <f t="shared" ca="1" si="1"/>
        <v/>
      </c>
    </row>
    <row r="67" spans="1:8" x14ac:dyDescent="0.25">
      <c r="A67" s="10" t="str">
        <f>IF(DATAPENDUDUK!A67="","",DATAPENDUDUK!A67)</f>
        <v/>
      </c>
      <c r="B67" s="13" t="str">
        <f>IF(DATAPENDUDUK!B67="","",DATAPENDUDUK!B67)</f>
        <v/>
      </c>
      <c r="C67" s="10" t="str">
        <f>IF(DATAPENDUDUK!C67="","",DATAPENDUDUK!C67)</f>
        <v/>
      </c>
      <c r="D67" s="10" t="str">
        <f>IF(DATAPENDUDUK!E67="","",DATAPENDUDUK!E67)</f>
        <v/>
      </c>
      <c r="E67" s="10" t="str">
        <f>IF(DATAPENDUDUK!F67="","",DATAPENDUDUK!F67)</f>
        <v/>
      </c>
      <c r="F67" s="11" t="str">
        <f>IF(DATAPENDUDUK!H67="","",DATAPENDUDUK!H67)</f>
        <v/>
      </c>
      <c r="G67" s="10" t="str">
        <f t="shared" ca="1" si="0"/>
        <v/>
      </c>
      <c r="H67" t="str">
        <f t="shared" ca="1" si="1"/>
        <v/>
      </c>
    </row>
    <row r="68" spans="1:8" x14ac:dyDescent="0.25">
      <c r="A68" s="10" t="str">
        <f>IF(DATAPENDUDUK!A68="","",DATAPENDUDUK!A68)</f>
        <v/>
      </c>
      <c r="B68" s="13" t="str">
        <f>IF(DATAPENDUDUK!B68="","",DATAPENDUDUK!B68)</f>
        <v/>
      </c>
      <c r="C68" s="10" t="str">
        <f>IF(DATAPENDUDUK!C68="","",DATAPENDUDUK!C68)</f>
        <v/>
      </c>
      <c r="D68" s="10" t="str">
        <f>IF(DATAPENDUDUK!E68="","",DATAPENDUDUK!E68)</f>
        <v/>
      </c>
      <c r="E68" s="10" t="str">
        <f>IF(DATAPENDUDUK!F68="","",DATAPENDUDUK!F68)</f>
        <v/>
      </c>
      <c r="F68" s="11" t="str">
        <f>IF(DATAPENDUDUK!H68="","",DATAPENDUDUK!H68)</f>
        <v/>
      </c>
      <c r="G68" s="10" t="str">
        <f t="shared" ca="1" si="0"/>
        <v/>
      </c>
      <c r="H68" t="str">
        <f t="shared" ca="1" si="1"/>
        <v/>
      </c>
    </row>
    <row r="69" spans="1:8" x14ac:dyDescent="0.25">
      <c r="A69" s="10" t="str">
        <f>IF(DATAPENDUDUK!A69="","",DATAPENDUDUK!A69)</f>
        <v/>
      </c>
      <c r="B69" s="13" t="str">
        <f>IF(DATAPENDUDUK!B69="","",DATAPENDUDUK!B69)</f>
        <v/>
      </c>
      <c r="C69" s="10" t="str">
        <f>IF(DATAPENDUDUK!C69="","",DATAPENDUDUK!C69)</f>
        <v/>
      </c>
      <c r="D69" s="10" t="str">
        <f>IF(DATAPENDUDUK!E69="","",DATAPENDUDUK!E69)</f>
        <v/>
      </c>
      <c r="E69" s="10" t="str">
        <f>IF(DATAPENDUDUK!F69="","",DATAPENDUDUK!F69)</f>
        <v/>
      </c>
      <c r="F69" s="11" t="str">
        <f>IF(DATAPENDUDUK!H69="","",DATAPENDUDUK!H69)</f>
        <v/>
      </c>
      <c r="G69" s="10" t="str">
        <f t="shared" ca="1" si="0"/>
        <v/>
      </c>
      <c r="H69" t="str">
        <f t="shared" ca="1" si="1"/>
        <v/>
      </c>
    </row>
    <row r="70" spans="1:8" x14ac:dyDescent="0.25">
      <c r="A70" s="10" t="str">
        <f>IF(DATAPENDUDUK!A70="","",DATAPENDUDUK!A70)</f>
        <v/>
      </c>
      <c r="B70" s="13" t="str">
        <f>IF(DATAPENDUDUK!B70="","",DATAPENDUDUK!B70)</f>
        <v/>
      </c>
      <c r="C70" s="10" t="str">
        <f>IF(DATAPENDUDUK!C70="","",DATAPENDUDUK!C70)</f>
        <v/>
      </c>
      <c r="D70" s="10" t="str">
        <f>IF(DATAPENDUDUK!E70="","",DATAPENDUDUK!E70)</f>
        <v/>
      </c>
      <c r="E70" s="10" t="str">
        <f>IF(DATAPENDUDUK!F70="","",DATAPENDUDUK!F70)</f>
        <v/>
      </c>
      <c r="F70" s="11" t="str">
        <f>IF(DATAPENDUDUK!H70="","",DATAPENDUDUK!H70)</f>
        <v/>
      </c>
      <c r="G70" s="10" t="str">
        <f t="shared" ref="G70:G133" ca="1" si="2">IFERROR(DATEDIF(F70,TODAY(),"Y"),"")</f>
        <v/>
      </c>
      <c r="H70" t="str">
        <f t="shared" ref="H70:H133" ca="1" si="3">IF(G70="","",IF(G70&lt;=1,"Bayi",IF(G70&lt;=10,"Anak-Anak",IF(G70&lt;=19,"Remaja",IF(G70&lt;=60,"Dewasa",IF(G70&gt;60,"Lanjut Usia"))))))</f>
        <v/>
      </c>
    </row>
    <row r="71" spans="1:8" x14ac:dyDescent="0.25">
      <c r="A71" s="10" t="str">
        <f>IF(DATAPENDUDUK!A71="","",DATAPENDUDUK!A71)</f>
        <v/>
      </c>
      <c r="B71" s="13" t="str">
        <f>IF(DATAPENDUDUK!B71="","",DATAPENDUDUK!B71)</f>
        <v/>
      </c>
      <c r="C71" s="10" t="str">
        <f>IF(DATAPENDUDUK!C71="","",DATAPENDUDUK!C71)</f>
        <v/>
      </c>
      <c r="D71" s="10" t="str">
        <f>IF(DATAPENDUDUK!E71="","",DATAPENDUDUK!E71)</f>
        <v/>
      </c>
      <c r="E71" s="10" t="str">
        <f>IF(DATAPENDUDUK!F71="","",DATAPENDUDUK!F71)</f>
        <v/>
      </c>
      <c r="F71" s="11" t="str">
        <f>IF(DATAPENDUDUK!H71="","",DATAPENDUDUK!H71)</f>
        <v/>
      </c>
      <c r="G71" s="10" t="str">
        <f t="shared" ca="1" si="2"/>
        <v/>
      </c>
      <c r="H71" t="str">
        <f t="shared" ca="1" si="3"/>
        <v/>
      </c>
    </row>
    <row r="72" spans="1:8" x14ac:dyDescent="0.25">
      <c r="A72" s="10" t="str">
        <f>IF(DATAPENDUDUK!A72="","",DATAPENDUDUK!A72)</f>
        <v/>
      </c>
      <c r="B72" s="13" t="str">
        <f>IF(DATAPENDUDUK!B72="","",DATAPENDUDUK!B72)</f>
        <v/>
      </c>
      <c r="C72" s="10" t="str">
        <f>IF(DATAPENDUDUK!C72="","",DATAPENDUDUK!C72)</f>
        <v/>
      </c>
      <c r="D72" s="10" t="str">
        <f>IF(DATAPENDUDUK!E72="","",DATAPENDUDUK!E72)</f>
        <v/>
      </c>
      <c r="E72" s="10" t="str">
        <f>IF(DATAPENDUDUK!F72="","",DATAPENDUDUK!F72)</f>
        <v/>
      </c>
      <c r="F72" s="11" t="str">
        <f>IF(DATAPENDUDUK!H72="","",DATAPENDUDUK!H72)</f>
        <v/>
      </c>
      <c r="G72" s="10" t="str">
        <f t="shared" ca="1" si="2"/>
        <v/>
      </c>
      <c r="H72" t="str">
        <f t="shared" ca="1" si="3"/>
        <v/>
      </c>
    </row>
    <row r="73" spans="1:8" x14ac:dyDescent="0.25">
      <c r="A73" s="10" t="str">
        <f>IF(DATAPENDUDUK!A73="","",DATAPENDUDUK!A73)</f>
        <v/>
      </c>
      <c r="B73" s="13" t="str">
        <f>IF(DATAPENDUDUK!B73="","",DATAPENDUDUK!B73)</f>
        <v/>
      </c>
      <c r="C73" s="10" t="str">
        <f>IF(DATAPENDUDUK!C73="","",DATAPENDUDUK!C73)</f>
        <v/>
      </c>
      <c r="D73" s="10" t="str">
        <f>IF(DATAPENDUDUK!E73="","",DATAPENDUDUK!E73)</f>
        <v/>
      </c>
      <c r="E73" s="10" t="str">
        <f>IF(DATAPENDUDUK!F73="","",DATAPENDUDUK!F73)</f>
        <v/>
      </c>
      <c r="F73" s="11" t="str">
        <f>IF(DATAPENDUDUK!H73="","",DATAPENDUDUK!H73)</f>
        <v/>
      </c>
      <c r="G73" s="10" t="str">
        <f t="shared" ca="1" si="2"/>
        <v/>
      </c>
      <c r="H73" t="str">
        <f t="shared" ca="1" si="3"/>
        <v/>
      </c>
    </row>
    <row r="74" spans="1:8" x14ac:dyDescent="0.25">
      <c r="A74" s="10" t="str">
        <f>IF(DATAPENDUDUK!A74="","",DATAPENDUDUK!A74)</f>
        <v/>
      </c>
      <c r="B74" s="13" t="str">
        <f>IF(DATAPENDUDUK!B74="","",DATAPENDUDUK!B74)</f>
        <v/>
      </c>
      <c r="C74" s="10" t="str">
        <f>IF(DATAPENDUDUK!C74="","",DATAPENDUDUK!C74)</f>
        <v/>
      </c>
      <c r="D74" s="10" t="str">
        <f>IF(DATAPENDUDUK!E74="","",DATAPENDUDUK!E74)</f>
        <v/>
      </c>
      <c r="E74" s="10" t="str">
        <f>IF(DATAPENDUDUK!F74="","",DATAPENDUDUK!F74)</f>
        <v/>
      </c>
      <c r="F74" s="11" t="str">
        <f>IF(DATAPENDUDUK!H74="","",DATAPENDUDUK!H74)</f>
        <v/>
      </c>
      <c r="G74" s="10" t="str">
        <f t="shared" ca="1" si="2"/>
        <v/>
      </c>
      <c r="H74" t="str">
        <f t="shared" ca="1" si="3"/>
        <v/>
      </c>
    </row>
    <row r="75" spans="1:8" x14ac:dyDescent="0.25">
      <c r="A75" s="10" t="str">
        <f>IF(DATAPENDUDUK!A75="","",DATAPENDUDUK!A75)</f>
        <v/>
      </c>
      <c r="B75" s="13" t="str">
        <f>IF(DATAPENDUDUK!B75="","",DATAPENDUDUK!B75)</f>
        <v/>
      </c>
      <c r="C75" s="10" t="str">
        <f>IF(DATAPENDUDUK!C75="","",DATAPENDUDUK!C75)</f>
        <v/>
      </c>
      <c r="D75" s="10" t="str">
        <f>IF(DATAPENDUDUK!E75="","",DATAPENDUDUK!E75)</f>
        <v/>
      </c>
      <c r="E75" s="10" t="str">
        <f>IF(DATAPENDUDUK!F75="","",DATAPENDUDUK!F75)</f>
        <v/>
      </c>
      <c r="F75" s="11" t="str">
        <f>IF(DATAPENDUDUK!H75="","",DATAPENDUDUK!H75)</f>
        <v/>
      </c>
      <c r="G75" s="10" t="str">
        <f t="shared" ca="1" si="2"/>
        <v/>
      </c>
      <c r="H75" t="str">
        <f t="shared" ca="1" si="3"/>
        <v/>
      </c>
    </row>
    <row r="76" spans="1:8" x14ac:dyDescent="0.25">
      <c r="A76" s="10" t="str">
        <f>IF(DATAPENDUDUK!A76="","",DATAPENDUDUK!A76)</f>
        <v/>
      </c>
      <c r="B76" s="13" t="str">
        <f>IF(DATAPENDUDUK!B76="","",DATAPENDUDUK!B76)</f>
        <v/>
      </c>
      <c r="C76" s="10" t="str">
        <f>IF(DATAPENDUDUK!C76="","",DATAPENDUDUK!C76)</f>
        <v/>
      </c>
      <c r="D76" s="10" t="str">
        <f>IF(DATAPENDUDUK!E76="","",DATAPENDUDUK!E76)</f>
        <v/>
      </c>
      <c r="E76" s="10" t="str">
        <f>IF(DATAPENDUDUK!F76="","",DATAPENDUDUK!F76)</f>
        <v/>
      </c>
      <c r="F76" s="11" t="str">
        <f>IF(DATAPENDUDUK!H76="","",DATAPENDUDUK!H76)</f>
        <v/>
      </c>
      <c r="G76" s="10" t="str">
        <f t="shared" ca="1" si="2"/>
        <v/>
      </c>
      <c r="H76" t="str">
        <f t="shared" ca="1" si="3"/>
        <v/>
      </c>
    </row>
    <row r="77" spans="1:8" x14ac:dyDescent="0.25">
      <c r="A77" s="10" t="str">
        <f>IF(DATAPENDUDUK!A77="","",DATAPENDUDUK!A77)</f>
        <v/>
      </c>
      <c r="B77" s="13" t="str">
        <f>IF(DATAPENDUDUK!B77="","",DATAPENDUDUK!B77)</f>
        <v/>
      </c>
      <c r="C77" s="10" t="str">
        <f>IF(DATAPENDUDUK!C77="","",DATAPENDUDUK!C77)</f>
        <v/>
      </c>
      <c r="D77" s="10" t="str">
        <f>IF(DATAPENDUDUK!E77="","",DATAPENDUDUK!E77)</f>
        <v/>
      </c>
      <c r="E77" s="10" t="str">
        <f>IF(DATAPENDUDUK!F77="","",DATAPENDUDUK!F77)</f>
        <v/>
      </c>
      <c r="F77" s="11" t="str">
        <f>IF(DATAPENDUDUK!H77="","",DATAPENDUDUK!H77)</f>
        <v/>
      </c>
      <c r="G77" s="10" t="str">
        <f t="shared" ca="1" si="2"/>
        <v/>
      </c>
      <c r="H77" t="str">
        <f t="shared" ca="1" si="3"/>
        <v/>
      </c>
    </row>
    <row r="78" spans="1:8" x14ac:dyDescent="0.25">
      <c r="A78" s="10" t="str">
        <f>IF(DATAPENDUDUK!A78="","",DATAPENDUDUK!A78)</f>
        <v/>
      </c>
      <c r="B78" s="13" t="str">
        <f>IF(DATAPENDUDUK!B78="","",DATAPENDUDUK!B78)</f>
        <v/>
      </c>
      <c r="C78" s="10" t="str">
        <f>IF(DATAPENDUDUK!C78="","",DATAPENDUDUK!C78)</f>
        <v/>
      </c>
      <c r="D78" s="10" t="str">
        <f>IF(DATAPENDUDUK!E78="","",DATAPENDUDUK!E78)</f>
        <v/>
      </c>
      <c r="E78" s="10" t="str">
        <f>IF(DATAPENDUDUK!F78="","",DATAPENDUDUK!F78)</f>
        <v/>
      </c>
      <c r="F78" s="11" t="str">
        <f>IF(DATAPENDUDUK!H78="","",DATAPENDUDUK!H78)</f>
        <v/>
      </c>
      <c r="G78" s="10" t="str">
        <f t="shared" ca="1" si="2"/>
        <v/>
      </c>
      <c r="H78" t="str">
        <f t="shared" ca="1" si="3"/>
        <v/>
      </c>
    </row>
    <row r="79" spans="1:8" x14ac:dyDescent="0.25">
      <c r="A79" s="10" t="str">
        <f>IF(DATAPENDUDUK!A79="","",DATAPENDUDUK!A79)</f>
        <v/>
      </c>
      <c r="B79" s="13" t="str">
        <f>IF(DATAPENDUDUK!B79="","",DATAPENDUDUK!B79)</f>
        <v/>
      </c>
      <c r="C79" s="10" t="str">
        <f>IF(DATAPENDUDUK!C79="","",DATAPENDUDUK!C79)</f>
        <v/>
      </c>
      <c r="D79" s="10" t="str">
        <f>IF(DATAPENDUDUK!E79="","",DATAPENDUDUK!E79)</f>
        <v/>
      </c>
      <c r="E79" s="10" t="str">
        <f>IF(DATAPENDUDUK!F79="","",DATAPENDUDUK!F79)</f>
        <v/>
      </c>
      <c r="F79" s="11" t="str">
        <f>IF(DATAPENDUDUK!H79="","",DATAPENDUDUK!H79)</f>
        <v/>
      </c>
      <c r="G79" s="10" t="str">
        <f t="shared" ca="1" si="2"/>
        <v/>
      </c>
      <c r="H79" t="str">
        <f t="shared" ca="1" si="3"/>
        <v/>
      </c>
    </row>
    <row r="80" spans="1:8" x14ac:dyDescent="0.25">
      <c r="A80" s="10" t="str">
        <f>IF(DATAPENDUDUK!A80="","",DATAPENDUDUK!A80)</f>
        <v/>
      </c>
      <c r="B80" s="13" t="str">
        <f>IF(DATAPENDUDUK!B80="","",DATAPENDUDUK!B80)</f>
        <v/>
      </c>
      <c r="C80" s="10" t="str">
        <f>IF(DATAPENDUDUK!C80="","",DATAPENDUDUK!C80)</f>
        <v/>
      </c>
      <c r="D80" s="10" t="str">
        <f>IF(DATAPENDUDUK!E80="","",DATAPENDUDUK!E80)</f>
        <v/>
      </c>
      <c r="E80" s="10" t="str">
        <f>IF(DATAPENDUDUK!F80="","",DATAPENDUDUK!F80)</f>
        <v/>
      </c>
      <c r="F80" s="11" t="str">
        <f>IF(DATAPENDUDUK!H80="","",DATAPENDUDUK!H80)</f>
        <v/>
      </c>
      <c r="G80" s="10" t="str">
        <f t="shared" ca="1" si="2"/>
        <v/>
      </c>
      <c r="H80" t="str">
        <f t="shared" ca="1" si="3"/>
        <v/>
      </c>
    </row>
    <row r="81" spans="1:8" x14ac:dyDescent="0.25">
      <c r="A81" s="10" t="str">
        <f>IF(DATAPENDUDUK!A81="","",DATAPENDUDUK!A81)</f>
        <v/>
      </c>
      <c r="B81" s="13" t="str">
        <f>IF(DATAPENDUDUK!B81="","",DATAPENDUDUK!B81)</f>
        <v/>
      </c>
      <c r="C81" s="10" t="str">
        <f>IF(DATAPENDUDUK!C81="","",DATAPENDUDUK!C81)</f>
        <v/>
      </c>
      <c r="D81" s="10" t="str">
        <f>IF(DATAPENDUDUK!E81="","",DATAPENDUDUK!E81)</f>
        <v/>
      </c>
      <c r="E81" s="10" t="str">
        <f>IF(DATAPENDUDUK!F81="","",DATAPENDUDUK!F81)</f>
        <v/>
      </c>
      <c r="F81" s="11" t="str">
        <f>IF(DATAPENDUDUK!H81="","",DATAPENDUDUK!H81)</f>
        <v/>
      </c>
      <c r="G81" s="10" t="str">
        <f t="shared" ca="1" si="2"/>
        <v/>
      </c>
      <c r="H81" t="str">
        <f t="shared" ca="1" si="3"/>
        <v/>
      </c>
    </row>
    <row r="82" spans="1:8" x14ac:dyDescent="0.25">
      <c r="A82" s="10" t="str">
        <f>IF(DATAPENDUDUK!A82="","",DATAPENDUDUK!A82)</f>
        <v/>
      </c>
      <c r="B82" s="13" t="str">
        <f>IF(DATAPENDUDUK!B82="","",DATAPENDUDUK!B82)</f>
        <v/>
      </c>
      <c r="C82" s="10" t="str">
        <f>IF(DATAPENDUDUK!C82="","",DATAPENDUDUK!C82)</f>
        <v/>
      </c>
      <c r="D82" s="10" t="str">
        <f>IF(DATAPENDUDUK!E82="","",DATAPENDUDUK!E82)</f>
        <v/>
      </c>
      <c r="E82" s="10" t="str">
        <f>IF(DATAPENDUDUK!F82="","",DATAPENDUDUK!F82)</f>
        <v/>
      </c>
      <c r="F82" s="11" t="str">
        <f>IF(DATAPENDUDUK!H82="","",DATAPENDUDUK!H82)</f>
        <v/>
      </c>
      <c r="G82" s="10" t="str">
        <f t="shared" ca="1" si="2"/>
        <v/>
      </c>
      <c r="H82" t="str">
        <f t="shared" ca="1" si="3"/>
        <v/>
      </c>
    </row>
    <row r="83" spans="1:8" x14ac:dyDescent="0.25">
      <c r="A83" s="10" t="str">
        <f>IF(DATAPENDUDUK!A83="","",DATAPENDUDUK!A83)</f>
        <v/>
      </c>
      <c r="B83" s="13" t="str">
        <f>IF(DATAPENDUDUK!B83="","",DATAPENDUDUK!B83)</f>
        <v/>
      </c>
      <c r="C83" s="10" t="str">
        <f>IF(DATAPENDUDUK!C83="","",DATAPENDUDUK!C83)</f>
        <v/>
      </c>
      <c r="D83" s="10" t="str">
        <f>IF(DATAPENDUDUK!E83="","",DATAPENDUDUK!E83)</f>
        <v/>
      </c>
      <c r="E83" s="10" t="str">
        <f>IF(DATAPENDUDUK!F83="","",DATAPENDUDUK!F83)</f>
        <v/>
      </c>
      <c r="F83" s="11" t="str">
        <f>IF(DATAPENDUDUK!H83="","",DATAPENDUDUK!H83)</f>
        <v/>
      </c>
      <c r="G83" s="10" t="str">
        <f t="shared" ca="1" si="2"/>
        <v/>
      </c>
      <c r="H83" t="str">
        <f t="shared" ca="1" si="3"/>
        <v/>
      </c>
    </row>
    <row r="84" spans="1:8" x14ac:dyDescent="0.25">
      <c r="A84" s="10" t="str">
        <f>IF(DATAPENDUDUK!A84="","",DATAPENDUDUK!A84)</f>
        <v/>
      </c>
      <c r="B84" s="13" t="str">
        <f>IF(DATAPENDUDUK!B84="","",DATAPENDUDUK!B84)</f>
        <v/>
      </c>
      <c r="C84" s="10" t="str">
        <f>IF(DATAPENDUDUK!C84="","",DATAPENDUDUK!C84)</f>
        <v/>
      </c>
      <c r="D84" s="10" t="str">
        <f>IF(DATAPENDUDUK!E84="","",DATAPENDUDUK!E84)</f>
        <v/>
      </c>
      <c r="E84" s="10" t="str">
        <f>IF(DATAPENDUDUK!F84="","",DATAPENDUDUK!F84)</f>
        <v/>
      </c>
      <c r="F84" s="11" t="str">
        <f>IF(DATAPENDUDUK!H84="","",DATAPENDUDUK!H84)</f>
        <v/>
      </c>
      <c r="G84" s="10" t="str">
        <f t="shared" ca="1" si="2"/>
        <v/>
      </c>
      <c r="H84" t="str">
        <f t="shared" ca="1" si="3"/>
        <v/>
      </c>
    </row>
    <row r="85" spans="1:8" x14ac:dyDescent="0.25">
      <c r="A85" s="10" t="str">
        <f>IF(DATAPENDUDUK!A85="","",DATAPENDUDUK!A85)</f>
        <v/>
      </c>
      <c r="B85" s="13" t="str">
        <f>IF(DATAPENDUDUK!B85="","",DATAPENDUDUK!B85)</f>
        <v/>
      </c>
      <c r="C85" s="10" t="str">
        <f>IF(DATAPENDUDUK!C85="","",DATAPENDUDUK!C85)</f>
        <v/>
      </c>
      <c r="D85" s="10" t="str">
        <f>IF(DATAPENDUDUK!E85="","",DATAPENDUDUK!E85)</f>
        <v/>
      </c>
      <c r="E85" s="10" t="str">
        <f>IF(DATAPENDUDUK!F85="","",DATAPENDUDUK!F85)</f>
        <v/>
      </c>
      <c r="F85" s="11" t="str">
        <f>IF(DATAPENDUDUK!H85="","",DATAPENDUDUK!H85)</f>
        <v/>
      </c>
      <c r="G85" s="10" t="str">
        <f t="shared" ca="1" si="2"/>
        <v/>
      </c>
      <c r="H85" t="str">
        <f t="shared" ca="1" si="3"/>
        <v/>
      </c>
    </row>
    <row r="86" spans="1:8" x14ac:dyDescent="0.25">
      <c r="A86" s="10" t="str">
        <f>IF(DATAPENDUDUK!A86="","",DATAPENDUDUK!A86)</f>
        <v/>
      </c>
      <c r="B86" s="13" t="str">
        <f>IF(DATAPENDUDUK!B86="","",DATAPENDUDUK!B86)</f>
        <v/>
      </c>
      <c r="C86" s="10" t="str">
        <f>IF(DATAPENDUDUK!C86="","",DATAPENDUDUK!C86)</f>
        <v/>
      </c>
      <c r="D86" s="10" t="str">
        <f>IF(DATAPENDUDUK!E86="","",DATAPENDUDUK!E86)</f>
        <v/>
      </c>
      <c r="E86" s="10" t="str">
        <f>IF(DATAPENDUDUK!F86="","",DATAPENDUDUK!F86)</f>
        <v/>
      </c>
      <c r="F86" s="11" t="str">
        <f>IF(DATAPENDUDUK!H86="","",DATAPENDUDUK!H86)</f>
        <v/>
      </c>
      <c r="G86" s="10" t="str">
        <f t="shared" ca="1" si="2"/>
        <v/>
      </c>
      <c r="H86" t="str">
        <f t="shared" ca="1" si="3"/>
        <v/>
      </c>
    </row>
    <row r="87" spans="1:8" x14ac:dyDescent="0.25">
      <c r="A87" s="10" t="str">
        <f>IF(DATAPENDUDUK!A87="","",DATAPENDUDUK!A87)</f>
        <v/>
      </c>
      <c r="B87" s="13" t="str">
        <f>IF(DATAPENDUDUK!B87="","",DATAPENDUDUK!B87)</f>
        <v/>
      </c>
      <c r="C87" s="10" t="str">
        <f>IF(DATAPENDUDUK!C87="","",DATAPENDUDUK!C87)</f>
        <v/>
      </c>
      <c r="D87" s="10" t="str">
        <f>IF(DATAPENDUDUK!E87="","",DATAPENDUDUK!E87)</f>
        <v/>
      </c>
      <c r="E87" s="10" t="str">
        <f>IF(DATAPENDUDUK!F87="","",DATAPENDUDUK!F87)</f>
        <v/>
      </c>
      <c r="F87" s="11" t="str">
        <f>IF(DATAPENDUDUK!H87="","",DATAPENDUDUK!H87)</f>
        <v/>
      </c>
      <c r="G87" s="10" t="str">
        <f t="shared" ca="1" si="2"/>
        <v/>
      </c>
      <c r="H87" t="str">
        <f t="shared" ca="1" si="3"/>
        <v/>
      </c>
    </row>
    <row r="88" spans="1:8" x14ac:dyDescent="0.25">
      <c r="A88" s="10" t="str">
        <f>IF(DATAPENDUDUK!A88="","",DATAPENDUDUK!A88)</f>
        <v/>
      </c>
      <c r="B88" s="13" t="str">
        <f>IF(DATAPENDUDUK!B88="","",DATAPENDUDUK!B88)</f>
        <v/>
      </c>
      <c r="C88" s="10" t="str">
        <f>IF(DATAPENDUDUK!C88="","",DATAPENDUDUK!C88)</f>
        <v/>
      </c>
      <c r="D88" s="10" t="str">
        <f>IF(DATAPENDUDUK!E88="","",DATAPENDUDUK!E88)</f>
        <v/>
      </c>
      <c r="E88" s="10" t="str">
        <f>IF(DATAPENDUDUK!F88="","",DATAPENDUDUK!F88)</f>
        <v/>
      </c>
      <c r="F88" s="11" t="str">
        <f>IF(DATAPENDUDUK!H88="","",DATAPENDUDUK!H88)</f>
        <v/>
      </c>
      <c r="G88" s="10" t="str">
        <f t="shared" ca="1" si="2"/>
        <v/>
      </c>
      <c r="H88" t="str">
        <f t="shared" ca="1" si="3"/>
        <v/>
      </c>
    </row>
    <row r="89" spans="1:8" x14ac:dyDescent="0.25">
      <c r="A89" s="10" t="str">
        <f>IF(DATAPENDUDUK!A89="","",DATAPENDUDUK!A89)</f>
        <v/>
      </c>
      <c r="B89" s="13" t="str">
        <f>IF(DATAPENDUDUK!B89="","",DATAPENDUDUK!B89)</f>
        <v/>
      </c>
      <c r="C89" s="10" t="str">
        <f>IF(DATAPENDUDUK!C89="","",DATAPENDUDUK!C89)</f>
        <v/>
      </c>
      <c r="D89" s="10" t="str">
        <f>IF(DATAPENDUDUK!E89="","",DATAPENDUDUK!E89)</f>
        <v/>
      </c>
      <c r="E89" s="10" t="str">
        <f>IF(DATAPENDUDUK!F89="","",DATAPENDUDUK!F89)</f>
        <v/>
      </c>
      <c r="F89" s="11" t="str">
        <f>IF(DATAPENDUDUK!H89="","",DATAPENDUDUK!H89)</f>
        <v/>
      </c>
      <c r="G89" s="10" t="str">
        <f t="shared" ca="1" si="2"/>
        <v/>
      </c>
      <c r="H89" t="str">
        <f t="shared" ca="1" si="3"/>
        <v/>
      </c>
    </row>
    <row r="90" spans="1:8" x14ac:dyDescent="0.25">
      <c r="A90" s="10" t="str">
        <f>IF(DATAPENDUDUK!A90="","",DATAPENDUDUK!A90)</f>
        <v/>
      </c>
      <c r="B90" s="13" t="str">
        <f>IF(DATAPENDUDUK!B90="","",DATAPENDUDUK!B90)</f>
        <v/>
      </c>
      <c r="C90" s="10" t="str">
        <f>IF(DATAPENDUDUK!C90="","",DATAPENDUDUK!C90)</f>
        <v/>
      </c>
      <c r="D90" s="10" t="str">
        <f>IF(DATAPENDUDUK!E90="","",DATAPENDUDUK!E90)</f>
        <v/>
      </c>
      <c r="E90" s="10" t="str">
        <f>IF(DATAPENDUDUK!F90="","",DATAPENDUDUK!F90)</f>
        <v/>
      </c>
      <c r="F90" s="11" t="str">
        <f>IF(DATAPENDUDUK!H90="","",DATAPENDUDUK!H90)</f>
        <v/>
      </c>
      <c r="G90" s="10" t="str">
        <f t="shared" ca="1" si="2"/>
        <v/>
      </c>
      <c r="H90" t="str">
        <f t="shared" ca="1" si="3"/>
        <v/>
      </c>
    </row>
    <row r="91" spans="1:8" x14ac:dyDescent="0.25">
      <c r="A91" s="10" t="str">
        <f>IF(DATAPENDUDUK!A91="","",DATAPENDUDUK!A91)</f>
        <v/>
      </c>
      <c r="B91" s="13" t="str">
        <f>IF(DATAPENDUDUK!B91="","",DATAPENDUDUK!B91)</f>
        <v/>
      </c>
      <c r="C91" s="10" t="str">
        <f>IF(DATAPENDUDUK!C91="","",DATAPENDUDUK!C91)</f>
        <v/>
      </c>
      <c r="D91" s="10" t="str">
        <f>IF(DATAPENDUDUK!E91="","",DATAPENDUDUK!E91)</f>
        <v/>
      </c>
      <c r="E91" s="10" t="str">
        <f>IF(DATAPENDUDUK!F91="","",DATAPENDUDUK!F91)</f>
        <v/>
      </c>
      <c r="F91" s="11" t="str">
        <f>IF(DATAPENDUDUK!H91="","",DATAPENDUDUK!H91)</f>
        <v/>
      </c>
      <c r="G91" s="10" t="str">
        <f t="shared" ca="1" si="2"/>
        <v/>
      </c>
      <c r="H91" t="str">
        <f t="shared" ca="1" si="3"/>
        <v/>
      </c>
    </row>
    <row r="92" spans="1:8" x14ac:dyDescent="0.25">
      <c r="A92" s="10" t="str">
        <f>IF(DATAPENDUDUK!A92="","",DATAPENDUDUK!A92)</f>
        <v/>
      </c>
      <c r="B92" s="13" t="str">
        <f>IF(DATAPENDUDUK!B92="","",DATAPENDUDUK!B92)</f>
        <v/>
      </c>
      <c r="C92" s="10" t="str">
        <f>IF(DATAPENDUDUK!C92="","",DATAPENDUDUK!C92)</f>
        <v/>
      </c>
      <c r="D92" s="10" t="str">
        <f>IF(DATAPENDUDUK!E92="","",DATAPENDUDUK!E92)</f>
        <v/>
      </c>
      <c r="E92" s="10" t="str">
        <f>IF(DATAPENDUDUK!F92="","",DATAPENDUDUK!F92)</f>
        <v/>
      </c>
      <c r="F92" s="11" t="str">
        <f>IF(DATAPENDUDUK!H92="","",DATAPENDUDUK!H92)</f>
        <v/>
      </c>
      <c r="G92" s="10" t="str">
        <f t="shared" ca="1" si="2"/>
        <v/>
      </c>
      <c r="H92" t="str">
        <f t="shared" ca="1" si="3"/>
        <v/>
      </c>
    </row>
    <row r="93" spans="1:8" x14ac:dyDescent="0.25">
      <c r="A93" s="10" t="str">
        <f>IF(DATAPENDUDUK!A93="","",DATAPENDUDUK!A93)</f>
        <v/>
      </c>
      <c r="B93" s="13" t="str">
        <f>IF(DATAPENDUDUK!B93="","",DATAPENDUDUK!B93)</f>
        <v/>
      </c>
      <c r="C93" s="10" t="str">
        <f>IF(DATAPENDUDUK!C93="","",DATAPENDUDUK!C93)</f>
        <v/>
      </c>
      <c r="D93" s="10" t="str">
        <f>IF(DATAPENDUDUK!E93="","",DATAPENDUDUK!E93)</f>
        <v/>
      </c>
      <c r="E93" s="10" t="str">
        <f>IF(DATAPENDUDUK!F93="","",DATAPENDUDUK!F93)</f>
        <v/>
      </c>
      <c r="F93" s="11" t="str">
        <f>IF(DATAPENDUDUK!H93="","",DATAPENDUDUK!H93)</f>
        <v/>
      </c>
      <c r="G93" s="10" t="str">
        <f t="shared" ca="1" si="2"/>
        <v/>
      </c>
      <c r="H93" t="str">
        <f t="shared" ca="1" si="3"/>
        <v/>
      </c>
    </row>
    <row r="94" spans="1:8" x14ac:dyDescent="0.25">
      <c r="A94" s="10" t="str">
        <f>IF(DATAPENDUDUK!A94="","",DATAPENDUDUK!A94)</f>
        <v/>
      </c>
      <c r="B94" s="13" t="str">
        <f>IF(DATAPENDUDUK!B94="","",DATAPENDUDUK!B94)</f>
        <v/>
      </c>
      <c r="C94" s="10" t="str">
        <f>IF(DATAPENDUDUK!C94="","",DATAPENDUDUK!C94)</f>
        <v/>
      </c>
      <c r="D94" s="10" t="str">
        <f>IF(DATAPENDUDUK!E94="","",DATAPENDUDUK!E94)</f>
        <v/>
      </c>
      <c r="E94" s="10" t="str">
        <f>IF(DATAPENDUDUK!F94="","",DATAPENDUDUK!F94)</f>
        <v/>
      </c>
      <c r="F94" s="11" t="str">
        <f>IF(DATAPENDUDUK!H94="","",DATAPENDUDUK!H94)</f>
        <v/>
      </c>
      <c r="G94" s="10" t="str">
        <f t="shared" ca="1" si="2"/>
        <v/>
      </c>
      <c r="H94" t="str">
        <f t="shared" ca="1" si="3"/>
        <v/>
      </c>
    </row>
    <row r="95" spans="1:8" x14ac:dyDescent="0.25">
      <c r="A95" s="10" t="str">
        <f>IF(DATAPENDUDUK!A95="","",DATAPENDUDUK!A95)</f>
        <v/>
      </c>
      <c r="B95" s="13" t="str">
        <f>IF(DATAPENDUDUK!B95="","",DATAPENDUDUK!B95)</f>
        <v/>
      </c>
      <c r="C95" s="10" t="str">
        <f>IF(DATAPENDUDUK!C95="","",DATAPENDUDUK!C95)</f>
        <v/>
      </c>
      <c r="D95" s="10" t="str">
        <f>IF(DATAPENDUDUK!E95="","",DATAPENDUDUK!E95)</f>
        <v/>
      </c>
      <c r="E95" s="10" t="str">
        <f>IF(DATAPENDUDUK!F95="","",DATAPENDUDUK!F95)</f>
        <v/>
      </c>
      <c r="F95" s="11" t="str">
        <f>IF(DATAPENDUDUK!H95="","",DATAPENDUDUK!H95)</f>
        <v/>
      </c>
      <c r="G95" s="10" t="str">
        <f t="shared" ca="1" si="2"/>
        <v/>
      </c>
      <c r="H95" t="str">
        <f t="shared" ca="1" si="3"/>
        <v/>
      </c>
    </row>
    <row r="96" spans="1:8" x14ac:dyDescent="0.25">
      <c r="A96" s="10" t="str">
        <f>IF(DATAPENDUDUK!A96="","",DATAPENDUDUK!A96)</f>
        <v/>
      </c>
      <c r="B96" s="13" t="str">
        <f>IF(DATAPENDUDUK!B96="","",DATAPENDUDUK!B96)</f>
        <v/>
      </c>
      <c r="C96" s="10" t="str">
        <f>IF(DATAPENDUDUK!C96="","",DATAPENDUDUK!C96)</f>
        <v/>
      </c>
      <c r="D96" s="10" t="str">
        <f>IF(DATAPENDUDUK!E96="","",DATAPENDUDUK!E96)</f>
        <v/>
      </c>
      <c r="E96" s="10" t="str">
        <f>IF(DATAPENDUDUK!F96="","",DATAPENDUDUK!F96)</f>
        <v/>
      </c>
      <c r="F96" s="11" t="str">
        <f>IF(DATAPENDUDUK!H96="","",DATAPENDUDUK!H96)</f>
        <v/>
      </c>
      <c r="G96" s="10" t="str">
        <f t="shared" ca="1" si="2"/>
        <v/>
      </c>
      <c r="H96" t="str">
        <f t="shared" ca="1" si="3"/>
        <v/>
      </c>
    </row>
    <row r="97" spans="1:8" x14ac:dyDescent="0.25">
      <c r="A97" s="10" t="str">
        <f>IF(DATAPENDUDUK!A97="","",DATAPENDUDUK!A97)</f>
        <v/>
      </c>
      <c r="B97" s="13" t="str">
        <f>IF(DATAPENDUDUK!B97="","",DATAPENDUDUK!B97)</f>
        <v/>
      </c>
      <c r="C97" s="10" t="str">
        <f>IF(DATAPENDUDUK!C97="","",DATAPENDUDUK!C97)</f>
        <v/>
      </c>
      <c r="D97" s="10" t="str">
        <f>IF(DATAPENDUDUK!E97="","",DATAPENDUDUK!E97)</f>
        <v/>
      </c>
      <c r="E97" s="10" t="str">
        <f>IF(DATAPENDUDUK!F97="","",DATAPENDUDUK!F97)</f>
        <v/>
      </c>
      <c r="F97" s="11" t="str">
        <f>IF(DATAPENDUDUK!H97="","",DATAPENDUDUK!H97)</f>
        <v/>
      </c>
      <c r="G97" s="10" t="str">
        <f t="shared" ca="1" si="2"/>
        <v/>
      </c>
      <c r="H97" t="str">
        <f t="shared" ca="1" si="3"/>
        <v/>
      </c>
    </row>
    <row r="98" spans="1:8" x14ac:dyDescent="0.25">
      <c r="A98" s="10" t="str">
        <f>IF(DATAPENDUDUK!A98="","",DATAPENDUDUK!A98)</f>
        <v/>
      </c>
      <c r="B98" s="13" t="str">
        <f>IF(DATAPENDUDUK!B98="","",DATAPENDUDUK!B98)</f>
        <v/>
      </c>
      <c r="C98" s="10" t="str">
        <f>IF(DATAPENDUDUK!C98="","",DATAPENDUDUK!C98)</f>
        <v/>
      </c>
      <c r="D98" s="10" t="str">
        <f>IF(DATAPENDUDUK!E98="","",DATAPENDUDUK!E98)</f>
        <v/>
      </c>
      <c r="E98" s="10" t="str">
        <f>IF(DATAPENDUDUK!F98="","",DATAPENDUDUK!F98)</f>
        <v/>
      </c>
      <c r="F98" s="11" t="str">
        <f>IF(DATAPENDUDUK!H98="","",DATAPENDUDUK!H98)</f>
        <v/>
      </c>
      <c r="G98" s="10" t="str">
        <f t="shared" ca="1" si="2"/>
        <v/>
      </c>
      <c r="H98" t="str">
        <f t="shared" ca="1" si="3"/>
        <v/>
      </c>
    </row>
    <row r="99" spans="1:8" x14ac:dyDescent="0.25">
      <c r="A99" s="10" t="str">
        <f>IF(DATAPENDUDUK!A99="","",DATAPENDUDUK!A99)</f>
        <v/>
      </c>
      <c r="B99" s="13" t="str">
        <f>IF(DATAPENDUDUK!B99="","",DATAPENDUDUK!B99)</f>
        <v/>
      </c>
      <c r="C99" s="10" t="str">
        <f>IF(DATAPENDUDUK!C99="","",DATAPENDUDUK!C99)</f>
        <v/>
      </c>
      <c r="D99" s="10" t="str">
        <f>IF(DATAPENDUDUK!E99="","",DATAPENDUDUK!E99)</f>
        <v/>
      </c>
      <c r="E99" s="10" t="str">
        <f>IF(DATAPENDUDUK!F99="","",DATAPENDUDUK!F99)</f>
        <v/>
      </c>
      <c r="F99" s="11" t="str">
        <f>IF(DATAPENDUDUK!H99="","",DATAPENDUDUK!H99)</f>
        <v/>
      </c>
      <c r="G99" s="10" t="str">
        <f t="shared" ca="1" si="2"/>
        <v/>
      </c>
      <c r="H99" t="str">
        <f t="shared" ca="1" si="3"/>
        <v/>
      </c>
    </row>
    <row r="100" spans="1:8" x14ac:dyDescent="0.25">
      <c r="A100" s="10" t="str">
        <f>IF(DATAPENDUDUK!A100="","",DATAPENDUDUK!A100)</f>
        <v/>
      </c>
      <c r="B100" s="13" t="str">
        <f>IF(DATAPENDUDUK!B100="","",DATAPENDUDUK!B100)</f>
        <v/>
      </c>
      <c r="C100" s="10" t="str">
        <f>IF(DATAPENDUDUK!C100="","",DATAPENDUDUK!C100)</f>
        <v/>
      </c>
      <c r="D100" s="10" t="str">
        <f>IF(DATAPENDUDUK!E100="","",DATAPENDUDUK!E100)</f>
        <v/>
      </c>
      <c r="E100" s="10" t="str">
        <f>IF(DATAPENDUDUK!F100="","",DATAPENDUDUK!F100)</f>
        <v/>
      </c>
      <c r="F100" s="11" t="str">
        <f>IF(DATAPENDUDUK!H100="","",DATAPENDUDUK!H100)</f>
        <v/>
      </c>
      <c r="G100" s="10" t="str">
        <f t="shared" ca="1" si="2"/>
        <v/>
      </c>
      <c r="H100" t="str">
        <f t="shared" ca="1" si="3"/>
        <v/>
      </c>
    </row>
    <row r="101" spans="1:8" x14ac:dyDescent="0.25">
      <c r="A101" s="10" t="str">
        <f>IF(DATAPENDUDUK!A101="","",DATAPENDUDUK!A101)</f>
        <v/>
      </c>
      <c r="B101" s="13" t="str">
        <f>IF(DATAPENDUDUK!B101="","",DATAPENDUDUK!B101)</f>
        <v/>
      </c>
      <c r="C101" s="10" t="str">
        <f>IF(DATAPENDUDUK!C101="","",DATAPENDUDUK!C101)</f>
        <v/>
      </c>
      <c r="D101" s="10" t="str">
        <f>IF(DATAPENDUDUK!E101="","",DATAPENDUDUK!E101)</f>
        <v/>
      </c>
      <c r="E101" s="10" t="str">
        <f>IF(DATAPENDUDUK!F101="","",DATAPENDUDUK!F101)</f>
        <v/>
      </c>
      <c r="F101" s="11" t="str">
        <f>IF(DATAPENDUDUK!H101="","",DATAPENDUDUK!H101)</f>
        <v/>
      </c>
      <c r="G101" s="10" t="str">
        <f t="shared" ca="1" si="2"/>
        <v/>
      </c>
      <c r="H101" t="str">
        <f t="shared" ca="1" si="3"/>
        <v/>
      </c>
    </row>
    <row r="102" spans="1:8" x14ac:dyDescent="0.25">
      <c r="A102" s="10" t="str">
        <f>IF(DATAPENDUDUK!A102="","",DATAPENDUDUK!A102)</f>
        <v/>
      </c>
      <c r="B102" s="13" t="str">
        <f>IF(DATAPENDUDUK!B102="","",DATAPENDUDUK!B102)</f>
        <v/>
      </c>
      <c r="C102" s="10" t="str">
        <f>IF(DATAPENDUDUK!C102="","",DATAPENDUDUK!C102)</f>
        <v/>
      </c>
      <c r="D102" s="10" t="str">
        <f>IF(DATAPENDUDUK!E102="","",DATAPENDUDUK!E102)</f>
        <v/>
      </c>
      <c r="E102" s="10" t="str">
        <f>IF(DATAPENDUDUK!F102="","",DATAPENDUDUK!F102)</f>
        <v/>
      </c>
      <c r="F102" s="11" t="str">
        <f>IF(DATAPENDUDUK!H102="","",DATAPENDUDUK!H102)</f>
        <v/>
      </c>
      <c r="G102" s="10" t="str">
        <f t="shared" ca="1" si="2"/>
        <v/>
      </c>
      <c r="H102" t="str">
        <f t="shared" ca="1" si="3"/>
        <v/>
      </c>
    </row>
    <row r="103" spans="1:8" x14ac:dyDescent="0.25">
      <c r="A103" s="10" t="str">
        <f>IF(DATAPENDUDUK!A103="","",DATAPENDUDUK!A103)</f>
        <v/>
      </c>
      <c r="B103" s="13" t="str">
        <f>IF(DATAPENDUDUK!B103="","",DATAPENDUDUK!B103)</f>
        <v/>
      </c>
      <c r="C103" s="10" t="str">
        <f>IF(DATAPENDUDUK!C103="","",DATAPENDUDUK!C103)</f>
        <v/>
      </c>
      <c r="D103" s="10" t="str">
        <f>IF(DATAPENDUDUK!E103="","",DATAPENDUDUK!E103)</f>
        <v/>
      </c>
      <c r="E103" s="10" t="str">
        <f>IF(DATAPENDUDUK!F103="","",DATAPENDUDUK!F103)</f>
        <v/>
      </c>
      <c r="F103" s="11" t="str">
        <f>IF(DATAPENDUDUK!H103="","",DATAPENDUDUK!H103)</f>
        <v/>
      </c>
      <c r="G103" s="10" t="str">
        <f t="shared" ca="1" si="2"/>
        <v/>
      </c>
      <c r="H103" t="str">
        <f t="shared" ca="1" si="3"/>
        <v/>
      </c>
    </row>
    <row r="104" spans="1:8" x14ac:dyDescent="0.25">
      <c r="A104" s="10" t="str">
        <f>IF(DATAPENDUDUK!A104="","",DATAPENDUDUK!A104)</f>
        <v/>
      </c>
      <c r="B104" s="13" t="str">
        <f>IF(DATAPENDUDUK!B104="","",DATAPENDUDUK!B104)</f>
        <v/>
      </c>
      <c r="C104" s="10" t="str">
        <f>IF(DATAPENDUDUK!C104="","",DATAPENDUDUK!C104)</f>
        <v/>
      </c>
      <c r="D104" s="10" t="str">
        <f>IF(DATAPENDUDUK!E104="","",DATAPENDUDUK!E104)</f>
        <v/>
      </c>
      <c r="E104" s="10" t="str">
        <f>IF(DATAPENDUDUK!F104="","",DATAPENDUDUK!F104)</f>
        <v/>
      </c>
      <c r="F104" s="11" t="str">
        <f>IF(DATAPENDUDUK!H104="","",DATAPENDUDUK!H104)</f>
        <v/>
      </c>
      <c r="G104" s="10" t="str">
        <f t="shared" ca="1" si="2"/>
        <v/>
      </c>
      <c r="H104" t="str">
        <f t="shared" ca="1" si="3"/>
        <v/>
      </c>
    </row>
    <row r="105" spans="1:8" x14ac:dyDescent="0.25">
      <c r="A105" s="10" t="str">
        <f>IF(DATAPENDUDUK!A105="","",DATAPENDUDUK!A105)</f>
        <v/>
      </c>
      <c r="B105" s="13" t="str">
        <f>IF(DATAPENDUDUK!B105="","",DATAPENDUDUK!B105)</f>
        <v/>
      </c>
      <c r="C105" s="10" t="str">
        <f>IF(DATAPENDUDUK!C105="","",DATAPENDUDUK!C105)</f>
        <v/>
      </c>
      <c r="D105" s="10" t="str">
        <f>IF(DATAPENDUDUK!E105="","",DATAPENDUDUK!E105)</f>
        <v/>
      </c>
      <c r="E105" s="10" t="str">
        <f>IF(DATAPENDUDUK!F105="","",DATAPENDUDUK!F105)</f>
        <v/>
      </c>
      <c r="F105" s="11" t="str">
        <f>IF(DATAPENDUDUK!H105="","",DATAPENDUDUK!H105)</f>
        <v/>
      </c>
      <c r="G105" s="10" t="str">
        <f t="shared" ca="1" si="2"/>
        <v/>
      </c>
      <c r="H105" t="str">
        <f t="shared" ca="1" si="3"/>
        <v/>
      </c>
    </row>
    <row r="106" spans="1:8" x14ac:dyDescent="0.25">
      <c r="A106" s="10" t="str">
        <f>IF(DATAPENDUDUK!A106="","",DATAPENDUDUK!A106)</f>
        <v/>
      </c>
      <c r="B106" s="13" t="str">
        <f>IF(DATAPENDUDUK!B106="","",DATAPENDUDUK!B106)</f>
        <v/>
      </c>
      <c r="C106" s="10" t="str">
        <f>IF(DATAPENDUDUK!C106="","",DATAPENDUDUK!C106)</f>
        <v/>
      </c>
      <c r="D106" s="10" t="str">
        <f>IF(DATAPENDUDUK!E106="","",DATAPENDUDUK!E106)</f>
        <v/>
      </c>
      <c r="E106" s="10" t="str">
        <f>IF(DATAPENDUDUK!F106="","",DATAPENDUDUK!F106)</f>
        <v/>
      </c>
      <c r="F106" s="11" t="str">
        <f>IF(DATAPENDUDUK!H106="","",DATAPENDUDUK!H106)</f>
        <v/>
      </c>
      <c r="G106" s="10" t="str">
        <f t="shared" ca="1" si="2"/>
        <v/>
      </c>
      <c r="H106" t="str">
        <f t="shared" ca="1" si="3"/>
        <v/>
      </c>
    </row>
    <row r="107" spans="1:8" x14ac:dyDescent="0.25">
      <c r="A107" s="10" t="str">
        <f>IF(DATAPENDUDUK!A107="","",DATAPENDUDUK!A107)</f>
        <v/>
      </c>
      <c r="B107" s="13" t="str">
        <f>IF(DATAPENDUDUK!B107="","",DATAPENDUDUK!B107)</f>
        <v/>
      </c>
      <c r="C107" s="10" t="str">
        <f>IF(DATAPENDUDUK!C107="","",DATAPENDUDUK!C107)</f>
        <v/>
      </c>
      <c r="D107" s="10" t="str">
        <f>IF(DATAPENDUDUK!E107="","",DATAPENDUDUK!E107)</f>
        <v/>
      </c>
      <c r="E107" s="10" t="str">
        <f>IF(DATAPENDUDUK!F107="","",DATAPENDUDUK!F107)</f>
        <v/>
      </c>
      <c r="F107" s="11" t="str">
        <f>IF(DATAPENDUDUK!H107="","",DATAPENDUDUK!H107)</f>
        <v/>
      </c>
      <c r="G107" s="10" t="str">
        <f t="shared" ca="1" si="2"/>
        <v/>
      </c>
      <c r="H107" t="str">
        <f t="shared" ca="1" si="3"/>
        <v/>
      </c>
    </row>
    <row r="108" spans="1:8" x14ac:dyDescent="0.25">
      <c r="A108" s="10" t="str">
        <f>IF(DATAPENDUDUK!A108="","",DATAPENDUDUK!A108)</f>
        <v/>
      </c>
      <c r="B108" s="13" t="str">
        <f>IF(DATAPENDUDUK!B108="","",DATAPENDUDUK!B108)</f>
        <v/>
      </c>
      <c r="C108" s="10" t="str">
        <f>IF(DATAPENDUDUK!C108="","",DATAPENDUDUK!C108)</f>
        <v/>
      </c>
      <c r="D108" s="10" t="str">
        <f>IF(DATAPENDUDUK!E108="","",DATAPENDUDUK!E108)</f>
        <v/>
      </c>
      <c r="E108" s="10" t="str">
        <f>IF(DATAPENDUDUK!F108="","",DATAPENDUDUK!F108)</f>
        <v/>
      </c>
      <c r="F108" s="11" t="str">
        <f>IF(DATAPENDUDUK!H108="","",DATAPENDUDUK!H108)</f>
        <v/>
      </c>
      <c r="G108" s="10" t="str">
        <f t="shared" ca="1" si="2"/>
        <v/>
      </c>
      <c r="H108" t="str">
        <f t="shared" ca="1" si="3"/>
        <v/>
      </c>
    </row>
    <row r="109" spans="1:8" x14ac:dyDescent="0.25">
      <c r="A109" s="10" t="str">
        <f>IF(DATAPENDUDUK!A109="","",DATAPENDUDUK!A109)</f>
        <v/>
      </c>
      <c r="B109" s="13" t="str">
        <f>IF(DATAPENDUDUK!B109="","",DATAPENDUDUK!B109)</f>
        <v/>
      </c>
      <c r="C109" s="10" t="str">
        <f>IF(DATAPENDUDUK!C109="","",DATAPENDUDUK!C109)</f>
        <v/>
      </c>
      <c r="D109" s="10" t="str">
        <f>IF(DATAPENDUDUK!E109="","",DATAPENDUDUK!E109)</f>
        <v/>
      </c>
      <c r="E109" s="10" t="str">
        <f>IF(DATAPENDUDUK!F109="","",DATAPENDUDUK!F109)</f>
        <v/>
      </c>
      <c r="F109" s="11" t="str">
        <f>IF(DATAPENDUDUK!H109="","",DATAPENDUDUK!H109)</f>
        <v/>
      </c>
      <c r="G109" s="10" t="str">
        <f t="shared" ca="1" si="2"/>
        <v/>
      </c>
      <c r="H109" t="str">
        <f t="shared" ca="1" si="3"/>
        <v/>
      </c>
    </row>
    <row r="110" spans="1:8" x14ac:dyDescent="0.25">
      <c r="A110" s="10" t="str">
        <f>IF(DATAPENDUDUK!A110="","",DATAPENDUDUK!A110)</f>
        <v/>
      </c>
      <c r="B110" s="13" t="str">
        <f>IF(DATAPENDUDUK!B110="","",DATAPENDUDUK!B110)</f>
        <v/>
      </c>
      <c r="C110" s="10" t="str">
        <f>IF(DATAPENDUDUK!C110="","",DATAPENDUDUK!C110)</f>
        <v/>
      </c>
      <c r="D110" s="10" t="str">
        <f>IF(DATAPENDUDUK!E110="","",DATAPENDUDUK!E110)</f>
        <v/>
      </c>
      <c r="E110" s="10" t="str">
        <f>IF(DATAPENDUDUK!F110="","",DATAPENDUDUK!F110)</f>
        <v/>
      </c>
      <c r="F110" s="11" t="str">
        <f>IF(DATAPENDUDUK!H110="","",DATAPENDUDUK!H110)</f>
        <v/>
      </c>
      <c r="G110" s="10" t="str">
        <f t="shared" ca="1" si="2"/>
        <v/>
      </c>
      <c r="H110" t="str">
        <f t="shared" ca="1" si="3"/>
        <v/>
      </c>
    </row>
    <row r="111" spans="1:8" x14ac:dyDescent="0.25">
      <c r="A111" s="10" t="str">
        <f>IF(DATAPENDUDUK!A111="","",DATAPENDUDUK!A111)</f>
        <v/>
      </c>
      <c r="B111" s="13" t="str">
        <f>IF(DATAPENDUDUK!B111="","",DATAPENDUDUK!B111)</f>
        <v/>
      </c>
      <c r="C111" s="10" t="str">
        <f>IF(DATAPENDUDUK!C111="","",DATAPENDUDUK!C111)</f>
        <v/>
      </c>
      <c r="D111" s="10" t="str">
        <f>IF(DATAPENDUDUK!E111="","",DATAPENDUDUK!E111)</f>
        <v/>
      </c>
      <c r="E111" s="10" t="str">
        <f>IF(DATAPENDUDUK!F111="","",DATAPENDUDUK!F111)</f>
        <v/>
      </c>
      <c r="F111" s="11" t="str">
        <f>IF(DATAPENDUDUK!H111="","",DATAPENDUDUK!H111)</f>
        <v/>
      </c>
      <c r="G111" s="10" t="str">
        <f t="shared" ca="1" si="2"/>
        <v/>
      </c>
      <c r="H111" t="str">
        <f t="shared" ca="1" si="3"/>
        <v/>
      </c>
    </row>
    <row r="112" spans="1:8" x14ac:dyDescent="0.25">
      <c r="A112" s="10" t="str">
        <f>IF(DATAPENDUDUK!A112="","",DATAPENDUDUK!A112)</f>
        <v/>
      </c>
      <c r="B112" s="13" t="str">
        <f>IF(DATAPENDUDUK!B112="","",DATAPENDUDUK!B112)</f>
        <v/>
      </c>
      <c r="C112" s="10" t="str">
        <f>IF(DATAPENDUDUK!C112="","",DATAPENDUDUK!C112)</f>
        <v/>
      </c>
      <c r="D112" s="10" t="str">
        <f>IF(DATAPENDUDUK!E112="","",DATAPENDUDUK!E112)</f>
        <v/>
      </c>
      <c r="E112" s="10" t="str">
        <f>IF(DATAPENDUDUK!F112="","",DATAPENDUDUK!F112)</f>
        <v/>
      </c>
      <c r="F112" s="11" t="str">
        <f>IF(DATAPENDUDUK!H112="","",DATAPENDUDUK!H112)</f>
        <v/>
      </c>
      <c r="G112" s="10" t="str">
        <f t="shared" ca="1" si="2"/>
        <v/>
      </c>
      <c r="H112" t="str">
        <f t="shared" ca="1" si="3"/>
        <v/>
      </c>
    </row>
    <row r="113" spans="1:8" x14ac:dyDescent="0.25">
      <c r="A113" s="10" t="str">
        <f>IF(DATAPENDUDUK!A113="","",DATAPENDUDUK!A113)</f>
        <v/>
      </c>
      <c r="B113" s="13" t="str">
        <f>IF(DATAPENDUDUK!B113="","",DATAPENDUDUK!B113)</f>
        <v/>
      </c>
      <c r="C113" s="10" t="str">
        <f>IF(DATAPENDUDUK!C113="","",DATAPENDUDUK!C113)</f>
        <v/>
      </c>
      <c r="D113" s="10" t="str">
        <f>IF(DATAPENDUDUK!E113="","",DATAPENDUDUK!E113)</f>
        <v/>
      </c>
      <c r="E113" s="10" t="str">
        <f>IF(DATAPENDUDUK!F113="","",DATAPENDUDUK!F113)</f>
        <v/>
      </c>
      <c r="F113" s="11" t="str">
        <f>IF(DATAPENDUDUK!H113="","",DATAPENDUDUK!H113)</f>
        <v/>
      </c>
      <c r="G113" s="10" t="str">
        <f t="shared" ca="1" si="2"/>
        <v/>
      </c>
      <c r="H113" t="str">
        <f t="shared" ca="1" si="3"/>
        <v/>
      </c>
    </row>
    <row r="114" spans="1:8" x14ac:dyDescent="0.25">
      <c r="A114" s="10" t="str">
        <f>IF(DATAPENDUDUK!A114="","",DATAPENDUDUK!A114)</f>
        <v/>
      </c>
      <c r="B114" s="13" t="str">
        <f>IF(DATAPENDUDUK!B114="","",DATAPENDUDUK!B114)</f>
        <v/>
      </c>
      <c r="C114" s="10" t="str">
        <f>IF(DATAPENDUDUK!C114="","",DATAPENDUDUK!C114)</f>
        <v/>
      </c>
      <c r="D114" s="10" t="str">
        <f>IF(DATAPENDUDUK!E114="","",DATAPENDUDUK!E114)</f>
        <v/>
      </c>
      <c r="E114" s="10" t="str">
        <f>IF(DATAPENDUDUK!F114="","",DATAPENDUDUK!F114)</f>
        <v/>
      </c>
      <c r="F114" s="11" t="str">
        <f>IF(DATAPENDUDUK!H114="","",DATAPENDUDUK!H114)</f>
        <v/>
      </c>
      <c r="G114" s="10" t="str">
        <f t="shared" ca="1" si="2"/>
        <v/>
      </c>
      <c r="H114" t="str">
        <f t="shared" ca="1" si="3"/>
        <v/>
      </c>
    </row>
    <row r="115" spans="1:8" x14ac:dyDescent="0.25">
      <c r="A115" s="10" t="str">
        <f>IF(DATAPENDUDUK!A115="","",DATAPENDUDUK!A115)</f>
        <v/>
      </c>
      <c r="B115" s="13" t="str">
        <f>IF(DATAPENDUDUK!B115="","",DATAPENDUDUK!B115)</f>
        <v/>
      </c>
      <c r="C115" s="10" t="str">
        <f>IF(DATAPENDUDUK!C115="","",DATAPENDUDUK!C115)</f>
        <v/>
      </c>
      <c r="D115" s="10" t="str">
        <f>IF(DATAPENDUDUK!E115="","",DATAPENDUDUK!E115)</f>
        <v/>
      </c>
      <c r="E115" s="10" t="str">
        <f>IF(DATAPENDUDUK!F115="","",DATAPENDUDUK!F115)</f>
        <v/>
      </c>
      <c r="F115" s="11" t="str">
        <f>IF(DATAPENDUDUK!H115="","",DATAPENDUDUK!H115)</f>
        <v/>
      </c>
      <c r="G115" s="10" t="str">
        <f t="shared" ca="1" si="2"/>
        <v/>
      </c>
      <c r="H115" t="str">
        <f t="shared" ca="1" si="3"/>
        <v/>
      </c>
    </row>
    <row r="116" spans="1:8" x14ac:dyDescent="0.25">
      <c r="A116" s="10" t="str">
        <f>IF(DATAPENDUDUK!A116="","",DATAPENDUDUK!A116)</f>
        <v/>
      </c>
      <c r="B116" s="13" t="str">
        <f>IF(DATAPENDUDUK!B116="","",DATAPENDUDUK!B116)</f>
        <v/>
      </c>
      <c r="C116" s="10" t="str">
        <f>IF(DATAPENDUDUK!C116="","",DATAPENDUDUK!C116)</f>
        <v/>
      </c>
      <c r="D116" s="10" t="str">
        <f>IF(DATAPENDUDUK!E116="","",DATAPENDUDUK!E116)</f>
        <v/>
      </c>
      <c r="E116" s="10" t="str">
        <f>IF(DATAPENDUDUK!F116="","",DATAPENDUDUK!F116)</f>
        <v/>
      </c>
      <c r="F116" s="11" t="str">
        <f>IF(DATAPENDUDUK!H116="","",DATAPENDUDUK!H116)</f>
        <v/>
      </c>
      <c r="G116" s="10" t="str">
        <f t="shared" ca="1" si="2"/>
        <v/>
      </c>
      <c r="H116" t="str">
        <f t="shared" ca="1" si="3"/>
        <v/>
      </c>
    </row>
    <row r="117" spans="1:8" x14ac:dyDescent="0.25">
      <c r="A117" s="10" t="str">
        <f>IF(DATAPENDUDUK!A117="","",DATAPENDUDUK!A117)</f>
        <v/>
      </c>
      <c r="B117" s="13" t="str">
        <f>IF(DATAPENDUDUK!B117="","",DATAPENDUDUK!B117)</f>
        <v/>
      </c>
      <c r="C117" s="10" t="str">
        <f>IF(DATAPENDUDUK!C117="","",DATAPENDUDUK!C117)</f>
        <v/>
      </c>
      <c r="D117" s="10" t="str">
        <f>IF(DATAPENDUDUK!E117="","",DATAPENDUDUK!E117)</f>
        <v/>
      </c>
      <c r="E117" s="10" t="str">
        <f>IF(DATAPENDUDUK!F117="","",DATAPENDUDUK!F117)</f>
        <v/>
      </c>
      <c r="F117" s="11" t="str">
        <f>IF(DATAPENDUDUK!H117="","",DATAPENDUDUK!H117)</f>
        <v/>
      </c>
      <c r="G117" s="10" t="str">
        <f t="shared" ca="1" si="2"/>
        <v/>
      </c>
      <c r="H117" t="str">
        <f t="shared" ca="1" si="3"/>
        <v/>
      </c>
    </row>
    <row r="118" spans="1:8" x14ac:dyDescent="0.25">
      <c r="A118" s="10" t="str">
        <f>IF(DATAPENDUDUK!A118="","",DATAPENDUDUK!A118)</f>
        <v/>
      </c>
      <c r="B118" s="13" t="str">
        <f>IF(DATAPENDUDUK!B118="","",DATAPENDUDUK!B118)</f>
        <v/>
      </c>
      <c r="C118" s="10" t="str">
        <f>IF(DATAPENDUDUK!C118="","",DATAPENDUDUK!C118)</f>
        <v/>
      </c>
      <c r="D118" s="10" t="str">
        <f>IF(DATAPENDUDUK!E118="","",DATAPENDUDUK!E118)</f>
        <v/>
      </c>
      <c r="E118" s="10" t="str">
        <f>IF(DATAPENDUDUK!F118="","",DATAPENDUDUK!F118)</f>
        <v/>
      </c>
      <c r="F118" s="11" t="str">
        <f>IF(DATAPENDUDUK!H118="","",DATAPENDUDUK!H118)</f>
        <v/>
      </c>
      <c r="G118" s="10" t="str">
        <f t="shared" ca="1" si="2"/>
        <v/>
      </c>
      <c r="H118" t="str">
        <f t="shared" ca="1" si="3"/>
        <v/>
      </c>
    </row>
    <row r="119" spans="1:8" x14ac:dyDescent="0.25">
      <c r="A119" s="10" t="str">
        <f>IF(DATAPENDUDUK!A119="","",DATAPENDUDUK!A119)</f>
        <v/>
      </c>
      <c r="B119" s="13" t="str">
        <f>IF(DATAPENDUDUK!B119="","",DATAPENDUDUK!B119)</f>
        <v/>
      </c>
      <c r="C119" s="10" t="str">
        <f>IF(DATAPENDUDUK!C119="","",DATAPENDUDUK!C119)</f>
        <v/>
      </c>
      <c r="D119" s="10" t="str">
        <f>IF(DATAPENDUDUK!E119="","",DATAPENDUDUK!E119)</f>
        <v/>
      </c>
      <c r="E119" s="10" t="str">
        <f>IF(DATAPENDUDUK!F119="","",DATAPENDUDUK!F119)</f>
        <v/>
      </c>
      <c r="F119" s="11" t="str">
        <f>IF(DATAPENDUDUK!H119="","",DATAPENDUDUK!H119)</f>
        <v/>
      </c>
      <c r="G119" s="10" t="str">
        <f t="shared" ca="1" si="2"/>
        <v/>
      </c>
      <c r="H119" t="str">
        <f t="shared" ca="1" si="3"/>
        <v/>
      </c>
    </row>
    <row r="120" spans="1:8" x14ac:dyDescent="0.25">
      <c r="A120" s="10" t="str">
        <f>IF(DATAPENDUDUK!A120="","",DATAPENDUDUK!A120)</f>
        <v/>
      </c>
      <c r="B120" s="13" t="str">
        <f>IF(DATAPENDUDUK!B120="","",DATAPENDUDUK!B120)</f>
        <v/>
      </c>
      <c r="C120" s="10" t="str">
        <f>IF(DATAPENDUDUK!C120="","",DATAPENDUDUK!C120)</f>
        <v/>
      </c>
      <c r="D120" s="10" t="str">
        <f>IF(DATAPENDUDUK!E120="","",DATAPENDUDUK!E120)</f>
        <v/>
      </c>
      <c r="E120" s="10" t="str">
        <f>IF(DATAPENDUDUK!F120="","",DATAPENDUDUK!F120)</f>
        <v/>
      </c>
      <c r="F120" s="11" t="str">
        <f>IF(DATAPENDUDUK!H120="","",DATAPENDUDUK!H120)</f>
        <v/>
      </c>
      <c r="G120" s="10" t="str">
        <f t="shared" ca="1" si="2"/>
        <v/>
      </c>
      <c r="H120" t="str">
        <f t="shared" ca="1" si="3"/>
        <v/>
      </c>
    </row>
    <row r="121" spans="1:8" x14ac:dyDescent="0.25">
      <c r="A121" s="10" t="str">
        <f>IF(DATAPENDUDUK!A121="","",DATAPENDUDUK!A121)</f>
        <v/>
      </c>
      <c r="B121" s="13" t="str">
        <f>IF(DATAPENDUDUK!B121="","",DATAPENDUDUK!B121)</f>
        <v/>
      </c>
      <c r="C121" s="10" t="str">
        <f>IF(DATAPENDUDUK!C121="","",DATAPENDUDUK!C121)</f>
        <v/>
      </c>
      <c r="D121" s="10" t="str">
        <f>IF(DATAPENDUDUK!E121="","",DATAPENDUDUK!E121)</f>
        <v/>
      </c>
      <c r="E121" s="10" t="str">
        <f>IF(DATAPENDUDUK!F121="","",DATAPENDUDUK!F121)</f>
        <v/>
      </c>
      <c r="F121" s="11" t="str">
        <f>IF(DATAPENDUDUK!H121="","",DATAPENDUDUK!H121)</f>
        <v/>
      </c>
      <c r="G121" s="10" t="str">
        <f t="shared" ca="1" si="2"/>
        <v/>
      </c>
      <c r="H121" t="str">
        <f t="shared" ca="1" si="3"/>
        <v/>
      </c>
    </row>
    <row r="122" spans="1:8" x14ac:dyDescent="0.25">
      <c r="A122" s="10" t="str">
        <f>IF(DATAPENDUDUK!A122="","",DATAPENDUDUK!A122)</f>
        <v/>
      </c>
      <c r="B122" s="13" t="str">
        <f>IF(DATAPENDUDUK!B122="","",DATAPENDUDUK!B122)</f>
        <v/>
      </c>
      <c r="C122" s="10" t="str">
        <f>IF(DATAPENDUDUK!C122="","",DATAPENDUDUK!C122)</f>
        <v/>
      </c>
      <c r="D122" s="10" t="str">
        <f>IF(DATAPENDUDUK!E122="","",DATAPENDUDUK!E122)</f>
        <v/>
      </c>
      <c r="E122" s="10" t="str">
        <f>IF(DATAPENDUDUK!F122="","",DATAPENDUDUK!F122)</f>
        <v/>
      </c>
      <c r="F122" s="11" t="str">
        <f>IF(DATAPENDUDUK!H122="","",DATAPENDUDUK!H122)</f>
        <v/>
      </c>
      <c r="G122" s="10" t="str">
        <f t="shared" ca="1" si="2"/>
        <v/>
      </c>
      <c r="H122" t="str">
        <f t="shared" ca="1" si="3"/>
        <v/>
      </c>
    </row>
    <row r="123" spans="1:8" x14ac:dyDescent="0.25">
      <c r="A123" s="10" t="str">
        <f>IF(DATAPENDUDUK!A123="","",DATAPENDUDUK!A123)</f>
        <v/>
      </c>
      <c r="B123" s="13" t="str">
        <f>IF(DATAPENDUDUK!B123="","",DATAPENDUDUK!B123)</f>
        <v/>
      </c>
      <c r="C123" s="10" t="str">
        <f>IF(DATAPENDUDUK!C123="","",DATAPENDUDUK!C123)</f>
        <v/>
      </c>
      <c r="D123" s="10" t="str">
        <f>IF(DATAPENDUDUK!E123="","",DATAPENDUDUK!E123)</f>
        <v/>
      </c>
      <c r="E123" s="10" t="str">
        <f>IF(DATAPENDUDUK!F123="","",DATAPENDUDUK!F123)</f>
        <v/>
      </c>
      <c r="F123" s="11" t="str">
        <f>IF(DATAPENDUDUK!H123="","",DATAPENDUDUK!H123)</f>
        <v/>
      </c>
      <c r="G123" s="10" t="str">
        <f t="shared" ca="1" si="2"/>
        <v/>
      </c>
      <c r="H123" t="str">
        <f t="shared" ca="1" si="3"/>
        <v/>
      </c>
    </row>
    <row r="124" spans="1:8" x14ac:dyDescent="0.25">
      <c r="A124" s="10" t="str">
        <f>IF(DATAPENDUDUK!A124="","",DATAPENDUDUK!A124)</f>
        <v/>
      </c>
      <c r="B124" s="13" t="str">
        <f>IF(DATAPENDUDUK!B124="","",DATAPENDUDUK!B124)</f>
        <v/>
      </c>
      <c r="C124" s="10" t="str">
        <f>IF(DATAPENDUDUK!C124="","",DATAPENDUDUK!C124)</f>
        <v/>
      </c>
      <c r="D124" s="10" t="str">
        <f>IF(DATAPENDUDUK!E124="","",DATAPENDUDUK!E124)</f>
        <v/>
      </c>
      <c r="E124" s="10" t="str">
        <f>IF(DATAPENDUDUK!F124="","",DATAPENDUDUK!F124)</f>
        <v/>
      </c>
      <c r="F124" s="11" t="str">
        <f>IF(DATAPENDUDUK!H124="","",DATAPENDUDUK!H124)</f>
        <v/>
      </c>
      <c r="G124" s="10" t="str">
        <f t="shared" ca="1" si="2"/>
        <v/>
      </c>
      <c r="H124" t="str">
        <f t="shared" ca="1" si="3"/>
        <v/>
      </c>
    </row>
    <row r="125" spans="1:8" x14ac:dyDescent="0.25">
      <c r="A125" s="10" t="str">
        <f>IF(DATAPENDUDUK!A125="","",DATAPENDUDUK!A125)</f>
        <v/>
      </c>
      <c r="B125" s="13" t="str">
        <f>IF(DATAPENDUDUK!B125="","",DATAPENDUDUK!B125)</f>
        <v/>
      </c>
      <c r="C125" s="10" t="str">
        <f>IF(DATAPENDUDUK!C125="","",DATAPENDUDUK!C125)</f>
        <v/>
      </c>
      <c r="D125" s="10" t="str">
        <f>IF(DATAPENDUDUK!E125="","",DATAPENDUDUK!E125)</f>
        <v/>
      </c>
      <c r="E125" s="10" t="str">
        <f>IF(DATAPENDUDUK!F125="","",DATAPENDUDUK!F125)</f>
        <v/>
      </c>
      <c r="F125" s="11" t="str">
        <f>IF(DATAPENDUDUK!H125="","",DATAPENDUDUK!H125)</f>
        <v/>
      </c>
      <c r="G125" s="10" t="str">
        <f t="shared" ca="1" si="2"/>
        <v/>
      </c>
      <c r="H125" t="str">
        <f t="shared" ca="1" si="3"/>
        <v/>
      </c>
    </row>
    <row r="126" spans="1:8" x14ac:dyDescent="0.25">
      <c r="A126" s="10" t="str">
        <f>IF(DATAPENDUDUK!A126="","",DATAPENDUDUK!A126)</f>
        <v/>
      </c>
      <c r="B126" s="13" t="str">
        <f>IF(DATAPENDUDUK!B126="","",DATAPENDUDUK!B126)</f>
        <v/>
      </c>
      <c r="C126" s="10" t="str">
        <f>IF(DATAPENDUDUK!C126="","",DATAPENDUDUK!C126)</f>
        <v/>
      </c>
      <c r="D126" s="10" t="str">
        <f>IF(DATAPENDUDUK!E126="","",DATAPENDUDUK!E126)</f>
        <v/>
      </c>
      <c r="E126" s="10" t="str">
        <f>IF(DATAPENDUDUK!F126="","",DATAPENDUDUK!F126)</f>
        <v/>
      </c>
      <c r="F126" s="11" t="str">
        <f>IF(DATAPENDUDUK!H126="","",DATAPENDUDUK!H126)</f>
        <v/>
      </c>
      <c r="G126" s="10" t="str">
        <f t="shared" ca="1" si="2"/>
        <v/>
      </c>
      <c r="H126" t="str">
        <f t="shared" ca="1" si="3"/>
        <v/>
      </c>
    </row>
    <row r="127" spans="1:8" x14ac:dyDescent="0.25">
      <c r="A127" s="10" t="str">
        <f>IF(DATAPENDUDUK!A127="","",DATAPENDUDUK!A127)</f>
        <v/>
      </c>
      <c r="B127" s="13" t="str">
        <f>IF(DATAPENDUDUK!B127="","",DATAPENDUDUK!B127)</f>
        <v/>
      </c>
      <c r="C127" s="10" t="str">
        <f>IF(DATAPENDUDUK!C127="","",DATAPENDUDUK!C127)</f>
        <v/>
      </c>
      <c r="D127" s="10" t="str">
        <f>IF(DATAPENDUDUK!E127="","",DATAPENDUDUK!E127)</f>
        <v/>
      </c>
      <c r="E127" s="10" t="str">
        <f>IF(DATAPENDUDUK!F127="","",DATAPENDUDUK!F127)</f>
        <v/>
      </c>
      <c r="F127" s="11" t="str">
        <f>IF(DATAPENDUDUK!H127="","",DATAPENDUDUK!H127)</f>
        <v/>
      </c>
      <c r="G127" s="10" t="str">
        <f t="shared" ca="1" si="2"/>
        <v/>
      </c>
      <c r="H127" t="str">
        <f t="shared" ca="1" si="3"/>
        <v/>
      </c>
    </row>
    <row r="128" spans="1:8" x14ac:dyDescent="0.25">
      <c r="A128" s="10" t="str">
        <f>IF(DATAPENDUDUK!A128="","",DATAPENDUDUK!A128)</f>
        <v/>
      </c>
      <c r="B128" s="13" t="str">
        <f>IF(DATAPENDUDUK!B128="","",DATAPENDUDUK!B128)</f>
        <v/>
      </c>
      <c r="C128" s="10" t="str">
        <f>IF(DATAPENDUDUK!C128="","",DATAPENDUDUK!C128)</f>
        <v/>
      </c>
      <c r="D128" s="10" t="str">
        <f>IF(DATAPENDUDUK!E128="","",DATAPENDUDUK!E128)</f>
        <v/>
      </c>
      <c r="E128" s="10" t="str">
        <f>IF(DATAPENDUDUK!F128="","",DATAPENDUDUK!F128)</f>
        <v/>
      </c>
      <c r="F128" s="11" t="str">
        <f>IF(DATAPENDUDUK!H128="","",DATAPENDUDUK!H128)</f>
        <v/>
      </c>
      <c r="G128" s="10" t="str">
        <f t="shared" ca="1" si="2"/>
        <v/>
      </c>
      <c r="H128" t="str">
        <f t="shared" ca="1" si="3"/>
        <v/>
      </c>
    </row>
    <row r="129" spans="1:8" x14ac:dyDescent="0.25">
      <c r="A129" s="10" t="str">
        <f>IF(DATAPENDUDUK!A129="","",DATAPENDUDUK!A129)</f>
        <v/>
      </c>
      <c r="B129" s="13" t="str">
        <f>IF(DATAPENDUDUK!B129="","",DATAPENDUDUK!B129)</f>
        <v/>
      </c>
      <c r="C129" s="10" t="str">
        <f>IF(DATAPENDUDUK!C129="","",DATAPENDUDUK!C129)</f>
        <v/>
      </c>
      <c r="D129" s="10" t="str">
        <f>IF(DATAPENDUDUK!E129="","",DATAPENDUDUK!E129)</f>
        <v/>
      </c>
      <c r="E129" s="10" t="str">
        <f>IF(DATAPENDUDUK!F129="","",DATAPENDUDUK!F129)</f>
        <v/>
      </c>
      <c r="F129" s="11" t="str">
        <f>IF(DATAPENDUDUK!H129="","",DATAPENDUDUK!H129)</f>
        <v/>
      </c>
      <c r="G129" s="10" t="str">
        <f t="shared" ca="1" si="2"/>
        <v/>
      </c>
      <c r="H129" t="str">
        <f t="shared" ca="1" si="3"/>
        <v/>
      </c>
    </row>
    <row r="130" spans="1:8" x14ac:dyDescent="0.25">
      <c r="A130" s="10" t="str">
        <f>IF(DATAPENDUDUK!A130="","",DATAPENDUDUK!A130)</f>
        <v/>
      </c>
      <c r="B130" s="13" t="str">
        <f>IF(DATAPENDUDUK!B130="","",DATAPENDUDUK!B130)</f>
        <v/>
      </c>
      <c r="C130" s="10" t="str">
        <f>IF(DATAPENDUDUK!C130="","",DATAPENDUDUK!C130)</f>
        <v/>
      </c>
      <c r="D130" s="10" t="str">
        <f>IF(DATAPENDUDUK!E130="","",DATAPENDUDUK!E130)</f>
        <v/>
      </c>
      <c r="E130" s="10" t="str">
        <f>IF(DATAPENDUDUK!F130="","",DATAPENDUDUK!F130)</f>
        <v/>
      </c>
      <c r="F130" s="11" t="str">
        <f>IF(DATAPENDUDUK!H130="","",DATAPENDUDUK!H130)</f>
        <v/>
      </c>
      <c r="G130" s="10" t="str">
        <f t="shared" ca="1" si="2"/>
        <v/>
      </c>
      <c r="H130" t="str">
        <f t="shared" ca="1" si="3"/>
        <v/>
      </c>
    </row>
    <row r="131" spans="1:8" x14ac:dyDescent="0.25">
      <c r="A131" s="10" t="str">
        <f>IF(DATAPENDUDUK!A131="","",DATAPENDUDUK!A131)</f>
        <v/>
      </c>
      <c r="B131" s="13" t="str">
        <f>IF(DATAPENDUDUK!B131="","",DATAPENDUDUK!B131)</f>
        <v/>
      </c>
      <c r="C131" s="10" t="str">
        <f>IF(DATAPENDUDUK!C131="","",DATAPENDUDUK!C131)</f>
        <v/>
      </c>
      <c r="D131" s="10" t="str">
        <f>IF(DATAPENDUDUK!E131="","",DATAPENDUDUK!E131)</f>
        <v/>
      </c>
      <c r="E131" s="10" t="str">
        <f>IF(DATAPENDUDUK!F131="","",DATAPENDUDUK!F131)</f>
        <v/>
      </c>
      <c r="F131" s="11" t="str">
        <f>IF(DATAPENDUDUK!H131="","",DATAPENDUDUK!H131)</f>
        <v/>
      </c>
      <c r="G131" s="10" t="str">
        <f t="shared" ca="1" si="2"/>
        <v/>
      </c>
      <c r="H131" t="str">
        <f t="shared" ca="1" si="3"/>
        <v/>
      </c>
    </row>
    <row r="132" spans="1:8" x14ac:dyDescent="0.25">
      <c r="A132" s="10" t="str">
        <f>IF(DATAPENDUDUK!A132="","",DATAPENDUDUK!A132)</f>
        <v/>
      </c>
      <c r="B132" s="13" t="str">
        <f>IF(DATAPENDUDUK!B132="","",DATAPENDUDUK!B132)</f>
        <v/>
      </c>
      <c r="C132" s="10" t="str">
        <f>IF(DATAPENDUDUK!C132="","",DATAPENDUDUK!C132)</f>
        <v/>
      </c>
      <c r="D132" s="10" t="str">
        <f>IF(DATAPENDUDUK!E132="","",DATAPENDUDUK!E132)</f>
        <v/>
      </c>
      <c r="E132" s="10" t="str">
        <f>IF(DATAPENDUDUK!F132="","",DATAPENDUDUK!F132)</f>
        <v/>
      </c>
      <c r="F132" s="11" t="str">
        <f>IF(DATAPENDUDUK!H132="","",DATAPENDUDUK!H132)</f>
        <v/>
      </c>
      <c r="G132" s="10" t="str">
        <f t="shared" ca="1" si="2"/>
        <v/>
      </c>
      <c r="H132" t="str">
        <f t="shared" ca="1" si="3"/>
        <v/>
      </c>
    </row>
    <row r="133" spans="1:8" x14ac:dyDescent="0.25">
      <c r="A133" s="10" t="str">
        <f>IF(DATAPENDUDUK!A133="","",DATAPENDUDUK!A133)</f>
        <v/>
      </c>
      <c r="B133" s="13" t="str">
        <f>IF(DATAPENDUDUK!B133="","",DATAPENDUDUK!B133)</f>
        <v/>
      </c>
      <c r="C133" s="10" t="str">
        <f>IF(DATAPENDUDUK!C133="","",DATAPENDUDUK!C133)</f>
        <v/>
      </c>
      <c r="D133" s="10" t="str">
        <f>IF(DATAPENDUDUK!E133="","",DATAPENDUDUK!E133)</f>
        <v/>
      </c>
      <c r="E133" s="10" t="str">
        <f>IF(DATAPENDUDUK!F133="","",DATAPENDUDUK!F133)</f>
        <v/>
      </c>
      <c r="F133" s="11" t="str">
        <f>IF(DATAPENDUDUK!H133="","",DATAPENDUDUK!H133)</f>
        <v/>
      </c>
      <c r="G133" s="10" t="str">
        <f t="shared" ca="1" si="2"/>
        <v/>
      </c>
      <c r="H133" t="str">
        <f t="shared" ca="1" si="3"/>
        <v/>
      </c>
    </row>
    <row r="134" spans="1:8" x14ac:dyDescent="0.25">
      <c r="A134" s="10" t="str">
        <f>IF(DATAPENDUDUK!A134="","",DATAPENDUDUK!A134)</f>
        <v/>
      </c>
      <c r="B134" s="13" t="str">
        <f>IF(DATAPENDUDUK!B134="","",DATAPENDUDUK!B134)</f>
        <v/>
      </c>
      <c r="C134" s="10" t="str">
        <f>IF(DATAPENDUDUK!C134="","",DATAPENDUDUK!C134)</f>
        <v/>
      </c>
      <c r="D134" s="10" t="str">
        <f>IF(DATAPENDUDUK!E134="","",DATAPENDUDUK!E134)</f>
        <v/>
      </c>
      <c r="E134" s="10" t="str">
        <f>IF(DATAPENDUDUK!F134="","",DATAPENDUDUK!F134)</f>
        <v/>
      </c>
      <c r="F134" s="11" t="str">
        <f>IF(DATAPENDUDUK!H134="","",DATAPENDUDUK!H134)</f>
        <v/>
      </c>
      <c r="G134" s="10" t="str">
        <f t="shared" ref="G134:G197" ca="1" si="4">IFERROR(DATEDIF(F134,TODAY(),"Y"),"")</f>
        <v/>
      </c>
      <c r="H134" t="str">
        <f t="shared" ref="H134:H197" ca="1" si="5">IF(G134="","",IF(G134&lt;=1,"Bayi",IF(G134&lt;=10,"Anak-Anak",IF(G134&lt;=19,"Remaja",IF(G134&lt;=60,"Dewasa",IF(G134&gt;60,"Lanjut Usia"))))))</f>
        <v/>
      </c>
    </row>
    <row r="135" spans="1:8" x14ac:dyDescent="0.25">
      <c r="A135" s="10" t="str">
        <f>IF(DATAPENDUDUK!A135="","",DATAPENDUDUK!A135)</f>
        <v/>
      </c>
      <c r="B135" s="13" t="str">
        <f>IF(DATAPENDUDUK!B135="","",DATAPENDUDUK!B135)</f>
        <v/>
      </c>
      <c r="C135" s="10" t="str">
        <f>IF(DATAPENDUDUK!C135="","",DATAPENDUDUK!C135)</f>
        <v/>
      </c>
      <c r="D135" s="10" t="str">
        <f>IF(DATAPENDUDUK!E135="","",DATAPENDUDUK!E135)</f>
        <v/>
      </c>
      <c r="E135" s="10" t="str">
        <f>IF(DATAPENDUDUK!F135="","",DATAPENDUDUK!F135)</f>
        <v/>
      </c>
      <c r="F135" s="11" t="str">
        <f>IF(DATAPENDUDUK!H135="","",DATAPENDUDUK!H135)</f>
        <v/>
      </c>
      <c r="G135" s="10" t="str">
        <f t="shared" ca="1" si="4"/>
        <v/>
      </c>
      <c r="H135" t="str">
        <f t="shared" ca="1" si="5"/>
        <v/>
      </c>
    </row>
    <row r="136" spans="1:8" x14ac:dyDescent="0.25">
      <c r="A136" s="10" t="str">
        <f>IF(DATAPENDUDUK!A136="","",DATAPENDUDUK!A136)</f>
        <v/>
      </c>
      <c r="B136" s="13" t="str">
        <f>IF(DATAPENDUDUK!B136="","",DATAPENDUDUK!B136)</f>
        <v/>
      </c>
      <c r="C136" s="10" t="str">
        <f>IF(DATAPENDUDUK!C136="","",DATAPENDUDUK!C136)</f>
        <v/>
      </c>
      <c r="D136" s="10" t="str">
        <f>IF(DATAPENDUDUK!E136="","",DATAPENDUDUK!E136)</f>
        <v/>
      </c>
      <c r="E136" s="10" t="str">
        <f>IF(DATAPENDUDUK!F136="","",DATAPENDUDUK!F136)</f>
        <v/>
      </c>
      <c r="F136" s="11" t="str">
        <f>IF(DATAPENDUDUK!H136="","",DATAPENDUDUK!H136)</f>
        <v/>
      </c>
      <c r="G136" s="10" t="str">
        <f t="shared" ca="1" si="4"/>
        <v/>
      </c>
      <c r="H136" t="str">
        <f t="shared" ca="1" si="5"/>
        <v/>
      </c>
    </row>
    <row r="137" spans="1:8" x14ac:dyDescent="0.25">
      <c r="A137" s="10" t="str">
        <f>IF(DATAPENDUDUK!A137="","",DATAPENDUDUK!A137)</f>
        <v/>
      </c>
      <c r="B137" s="13" t="str">
        <f>IF(DATAPENDUDUK!B137="","",DATAPENDUDUK!B137)</f>
        <v/>
      </c>
      <c r="C137" s="10" t="str">
        <f>IF(DATAPENDUDUK!C137="","",DATAPENDUDUK!C137)</f>
        <v/>
      </c>
      <c r="D137" s="10" t="str">
        <f>IF(DATAPENDUDUK!E137="","",DATAPENDUDUK!E137)</f>
        <v/>
      </c>
      <c r="E137" s="10" t="str">
        <f>IF(DATAPENDUDUK!F137="","",DATAPENDUDUK!F137)</f>
        <v/>
      </c>
      <c r="F137" s="11" t="str">
        <f>IF(DATAPENDUDUK!H137="","",DATAPENDUDUK!H137)</f>
        <v/>
      </c>
      <c r="G137" s="10" t="str">
        <f t="shared" ca="1" si="4"/>
        <v/>
      </c>
      <c r="H137" t="str">
        <f t="shared" ca="1" si="5"/>
        <v/>
      </c>
    </row>
    <row r="138" spans="1:8" x14ac:dyDescent="0.25">
      <c r="A138" s="10" t="str">
        <f>IF(DATAPENDUDUK!A138="","",DATAPENDUDUK!A138)</f>
        <v/>
      </c>
      <c r="B138" s="13" t="str">
        <f>IF(DATAPENDUDUK!B138="","",DATAPENDUDUK!B138)</f>
        <v/>
      </c>
      <c r="C138" s="10" t="str">
        <f>IF(DATAPENDUDUK!C138="","",DATAPENDUDUK!C138)</f>
        <v/>
      </c>
      <c r="D138" s="10" t="str">
        <f>IF(DATAPENDUDUK!E138="","",DATAPENDUDUK!E138)</f>
        <v/>
      </c>
      <c r="E138" s="10" t="str">
        <f>IF(DATAPENDUDUK!F138="","",DATAPENDUDUK!F138)</f>
        <v/>
      </c>
      <c r="F138" s="11" t="str">
        <f>IF(DATAPENDUDUK!H138="","",DATAPENDUDUK!H138)</f>
        <v/>
      </c>
      <c r="G138" s="10" t="str">
        <f t="shared" ca="1" si="4"/>
        <v/>
      </c>
      <c r="H138" t="str">
        <f t="shared" ca="1" si="5"/>
        <v/>
      </c>
    </row>
    <row r="139" spans="1:8" x14ac:dyDescent="0.25">
      <c r="A139" s="10" t="str">
        <f>IF(DATAPENDUDUK!A139="","",DATAPENDUDUK!A139)</f>
        <v/>
      </c>
      <c r="B139" s="13" t="str">
        <f>IF(DATAPENDUDUK!B139="","",DATAPENDUDUK!B139)</f>
        <v/>
      </c>
      <c r="C139" s="10" t="str">
        <f>IF(DATAPENDUDUK!C139="","",DATAPENDUDUK!C139)</f>
        <v/>
      </c>
      <c r="D139" s="10" t="str">
        <f>IF(DATAPENDUDUK!E139="","",DATAPENDUDUK!E139)</f>
        <v/>
      </c>
      <c r="E139" s="10" t="str">
        <f>IF(DATAPENDUDUK!F139="","",DATAPENDUDUK!F139)</f>
        <v/>
      </c>
      <c r="F139" s="11" t="str">
        <f>IF(DATAPENDUDUK!H139="","",DATAPENDUDUK!H139)</f>
        <v/>
      </c>
      <c r="G139" s="10" t="str">
        <f t="shared" ca="1" si="4"/>
        <v/>
      </c>
      <c r="H139" t="str">
        <f t="shared" ca="1" si="5"/>
        <v/>
      </c>
    </row>
    <row r="140" spans="1:8" x14ac:dyDescent="0.25">
      <c r="A140" s="10" t="str">
        <f>IF(DATAPENDUDUK!A140="","",DATAPENDUDUK!A140)</f>
        <v/>
      </c>
      <c r="B140" s="13" t="str">
        <f>IF(DATAPENDUDUK!B140="","",DATAPENDUDUK!B140)</f>
        <v/>
      </c>
      <c r="C140" s="10" t="str">
        <f>IF(DATAPENDUDUK!C140="","",DATAPENDUDUK!C140)</f>
        <v/>
      </c>
      <c r="D140" s="10" t="str">
        <f>IF(DATAPENDUDUK!E140="","",DATAPENDUDUK!E140)</f>
        <v/>
      </c>
      <c r="E140" s="10" t="str">
        <f>IF(DATAPENDUDUK!F140="","",DATAPENDUDUK!F140)</f>
        <v/>
      </c>
      <c r="F140" s="11" t="str">
        <f>IF(DATAPENDUDUK!H140="","",DATAPENDUDUK!H140)</f>
        <v/>
      </c>
      <c r="G140" s="10" t="str">
        <f t="shared" ca="1" si="4"/>
        <v/>
      </c>
      <c r="H140" t="str">
        <f t="shared" ca="1" si="5"/>
        <v/>
      </c>
    </row>
    <row r="141" spans="1:8" x14ac:dyDescent="0.25">
      <c r="A141" s="10" t="str">
        <f>IF(DATAPENDUDUK!A141="","",DATAPENDUDUK!A141)</f>
        <v/>
      </c>
      <c r="B141" s="13" t="str">
        <f>IF(DATAPENDUDUK!B141="","",DATAPENDUDUK!B141)</f>
        <v/>
      </c>
      <c r="C141" s="10" t="str">
        <f>IF(DATAPENDUDUK!C141="","",DATAPENDUDUK!C141)</f>
        <v/>
      </c>
      <c r="D141" s="10" t="str">
        <f>IF(DATAPENDUDUK!E141="","",DATAPENDUDUK!E141)</f>
        <v/>
      </c>
      <c r="E141" s="10" t="str">
        <f>IF(DATAPENDUDUK!F141="","",DATAPENDUDUK!F141)</f>
        <v/>
      </c>
      <c r="F141" s="11" t="str">
        <f>IF(DATAPENDUDUK!H141="","",DATAPENDUDUK!H141)</f>
        <v/>
      </c>
      <c r="G141" s="10" t="str">
        <f t="shared" ca="1" si="4"/>
        <v/>
      </c>
      <c r="H141" t="str">
        <f t="shared" ca="1" si="5"/>
        <v/>
      </c>
    </row>
    <row r="142" spans="1:8" x14ac:dyDescent="0.25">
      <c r="A142" s="10" t="str">
        <f>IF(DATAPENDUDUK!A142="","",DATAPENDUDUK!A142)</f>
        <v/>
      </c>
      <c r="B142" s="13" t="str">
        <f>IF(DATAPENDUDUK!B142="","",DATAPENDUDUK!B142)</f>
        <v/>
      </c>
      <c r="C142" s="10" t="str">
        <f>IF(DATAPENDUDUK!C142="","",DATAPENDUDUK!C142)</f>
        <v/>
      </c>
      <c r="D142" s="10" t="str">
        <f>IF(DATAPENDUDUK!E142="","",DATAPENDUDUK!E142)</f>
        <v/>
      </c>
      <c r="E142" s="10" t="str">
        <f>IF(DATAPENDUDUK!F142="","",DATAPENDUDUK!F142)</f>
        <v/>
      </c>
      <c r="F142" s="11" t="str">
        <f>IF(DATAPENDUDUK!H142="","",DATAPENDUDUK!H142)</f>
        <v/>
      </c>
      <c r="G142" s="10" t="str">
        <f t="shared" ca="1" si="4"/>
        <v/>
      </c>
      <c r="H142" t="str">
        <f t="shared" ca="1" si="5"/>
        <v/>
      </c>
    </row>
    <row r="143" spans="1:8" x14ac:dyDescent="0.25">
      <c r="A143" s="10" t="str">
        <f>IF(DATAPENDUDUK!A143="","",DATAPENDUDUK!A143)</f>
        <v/>
      </c>
      <c r="B143" s="13" t="str">
        <f>IF(DATAPENDUDUK!B143="","",DATAPENDUDUK!B143)</f>
        <v/>
      </c>
      <c r="C143" s="10" t="str">
        <f>IF(DATAPENDUDUK!C143="","",DATAPENDUDUK!C143)</f>
        <v/>
      </c>
      <c r="D143" s="10" t="str">
        <f>IF(DATAPENDUDUK!E143="","",DATAPENDUDUK!E143)</f>
        <v/>
      </c>
      <c r="E143" s="10" t="str">
        <f>IF(DATAPENDUDUK!F143="","",DATAPENDUDUK!F143)</f>
        <v/>
      </c>
      <c r="F143" s="11" t="str">
        <f>IF(DATAPENDUDUK!H143="","",DATAPENDUDUK!H143)</f>
        <v/>
      </c>
      <c r="G143" s="10" t="str">
        <f t="shared" ca="1" si="4"/>
        <v/>
      </c>
      <c r="H143" t="str">
        <f t="shared" ca="1" si="5"/>
        <v/>
      </c>
    </row>
    <row r="144" spans="1:8" x14ac:dyDescent="0.25">
      <c r="A144" s="10" t="str">
        <f>IF(DATAPENDUDUK!A144="","",DATAPENDUDUK!A144)</f>
        <v/>
      </c>
      <c r="B144" s="13" t="str">
        <f>IF(DATAPENDUDUK!B144="","",DATAPENDUDUK!B144)</f>
        <v/>
      </c>
      <c r="C144" s="10" t="str">
        <f>IF(DATAPENDUDUK!C144="","",DATAPENDUDUK!C144)</f>
        <v/>
      </c>
      <c r="D144" s="10" t="str">
        <f>IF(DATAPENDUDUK!E144="","",DATAPENDUDUK!E144)</f>
        <v/>
      </c>
      <c r="E144" s="10" t="str">
        <f>IF(DATAPENDUDUK!F144="","",DATAPENDUDUK!F144)</f>
        <v/>
      </c>
      <c r="F144" s="11" t="str">
        <f>IF(DATAPENDUDUK!H144="","",DATAPENDUDUK!H144)</f>
        <v/>
      </c>
      <c r="G144" s="10" t="str">
        <f t="shared" ca="1" si="4"/>
        <v/>
      </c>
      <c r="H144" t="str">
        <f t="shared" ca="1" si="5"/>
        <v/>
      </c>
    </row>
    <row r="145" spans="1:8" x14ac:dyDescent="0.25">
      <c r="A145" s="10" t="str">
        <f>IF(DATAPENDUDUK!A145="","",DATAPENDUDUK!A145)</f>
        <v/>
      </c>
      <c r="B145" s="13" t="str">
        <f>IF(DATAPENDUDUK!B145="","",DATAPENDUDUK!B145)</f>
        <v/>
      </c>
      <c r="C145" s="10" t="str">
        <f>IF(DATAPENDUDUK!C145="","",DATAPENDUDUK!C145)</f>
        <v/>
      </c>
      <c r="D145" s="10" t="str">
        <f>IF(DATAPENDUDUK!E145="","",DATAPENDUDUK!E145)</f>
        <v/>
      </c>
      <c r="E145" s="10" t="str">
        <f>IF(DATAPENDUDUK!F145="","",DATAPENDUDUK!F145)</f>
        <v/>
      </c>
      <c r="F145" s="11" t="str">
        <f>IF(DATAPENDUDUK!H145="","",DATAPENDUDUK!H145)</f>
        <v/>
      </c>
      <c r="G145" s="10" t="str">
        <f t="shared" ca="1" si="4"/>
        <v/>
      </c>
      <c r="H145" t="str">
        <f t="shared" ca="1" si="5"/>
        <v/>
      </c>
    </row>
    <row r="146" spans="1:8" x14ac:dyDescent="0.25">
      <c r="A146" s="10" t="str">
        <f>IF(DATAPENDUDUK!A146="","",DATAPENDUDUK!A146)</f>
        <v/>
      </c>
      <c r="B146" s="13" t="str">
        <f>IF(DATAPENDUDUK!B146="","",DATAPENDUDUK!B146)</f>
        <v/>
      </c>
      <c r="C146" s="10" t="str">
        <f>IF(DATAPENDUDUK!C146="","",DATAPENDUDUK!C146)</f>
        <v/>
      </c>
      <c r="D146" s="10" t="str">
        <f>IF(DATAPENDUDUK!E146="","",DATAPENDUDUK!E146)</f>
        <v/>
      </c>
      <c r="E146" s="10" t="str">
        <f>IF(DATAPENDUDUK!F146="","",DATAPENDUDUK!F146)</f>
        <v/>
      </c>
      <c r="F146" s="11" t="str">
        <f>IF(DATAPENDUDUK!H146="","",DATAPENDUDUK!H146)</f>
        <v/>
      </c>
      <c r="G146" s="10" t="str">
        <f t="shared" ca="1" si="4"/>
        <v/>
      </c>
      <c r="H146" t="str">
        <f t="shared" ca="1" si="5"/>
        <v/>
      </c>
    </row>
    <row r="147" spans="1:8" x14ac:dyDescent="0.25">
      <c r="A147" s="10" t="str">
        <f>IF(DATAPENDUDUK!A147="","",DATAPENDUDUK!A147)</f>
        <v/>
      </c>
      <c r="B147" s="13" t="str">
        <f>IF(DATAPENDUDUK!B147="","",DATAPENDUDUK!B147)</f>
        <v/>
      </c>
      <c r="C147" s="10" t="str">
        <f>IF(DATAPENDUDUK!C147="","",DATAPENDUDUK!C147)</f>
        <v/>
      </c>
      <c r="D147" s="10" t="str">
        <f>IF(DATAPENDUDUK!E147="","",DATAPENDUDUK!E147)</f>
        <v/>
      </c>
      <c r="E147" s="10" t="str">
        <f>IF(DATAPENDUDUK!F147="","",DATAPENDUDUK!F147)</f>
        <v/>
      </c>
      <c r="F147" s="11" t="str">
        <f>IF(DATAPENDUDUK!H147="","",DATAPENDUDUK!H147)</f>
        <v/>
      </c>
      <c r="G147" s="10" t="str">
        <f t="shared" ca="1" si="4"/>
        <v/>
      </c>
      <c r="H147" t="str">
        <f t="shared" ca="1" si="5"/>
        <v/>
      </c>
    </row>
    <row r="148" spans="1:8" x14ac:dyDescent="0.25">
      <c r="A148" s="10" t="str">
        <f>IF(DATAPENDUDUK!A148="","",DATAPENDUDUK!A148)</f>
        <v/>
      </c>
      <c r="B148" s="13" t="str">
        <f>IF(DATAPENDUDUK!B148="","",DATAPENDUDUK!B148)</f>
        <v/>
      </c>
      <c r="C148" s="10" t="str">
        <f>IF(DATAPENDUDUK!C148="","",DATAPENDUDUK!C148)</f>
        <v/>
      </c>
      <c r="D148" s="10" t="str">
        <f>IF(DATAPENDUDUK!E148="","",DATAPENDUDUK!E148)</f>
        <v/>
      </c>
      <c r="E148" s="10" t="str">
        <f>IF(DATAPENDUDUK!F148="","",DATAPENDUDUK!F148)</f>
        <v/>
      </c>
      <c r="F148" s="11" t="str">
        <f>IF(DATAPENDUDUK!H148="","",DATAPENDUDUK!H148)</f>
        <v/>
      </c>
      <c r="G148" s="10" t="str">
        <f t="shared" ca="1" si="4"/>
        <v/>
      </c>
      <c r="H148" t="str">
        <f t="shared" ca="1" si="5"/>
        <v/>
      </c>
    </row>
    <row r="149" spans="1:8" x14ac:dyDescent="0.25">
      <c r="A149" s="10" t="str">
        <f>IF(DATAPENDUDUK!A149="","",DATAPENDUDUK!A149)</f>
        <v/>
      </c>
      <c r="B149" s="13" t="str">
        <f>IF(DATAPENDUDUK!B149="","",DATAPENDUDUK!B149)</f>
        <v/>
      </c>
      <c r="C149" s="10" t="str">
        <f>IF(DATAPENDUDUK!C149="","",DATAPENDUDUK!C149)</f>
        <v/>
      </c>
      <c r="D149" s="10" t="str">
        <f>IF(DATAPENDUDUK!E149="","",DATAPENDUDUK!E149)</f>
        <v/>
      </c>
      <c r="E149" s="10" t="str">
        <f>IF(DATAPENDUDUK!F149="","",DATAPENDUDUK!F149)</f>
        <v/>
      </c>
      <c r="F149" s="11" t="str">
        <f>IF(DATAPENDUDUK!H149="","",DATAPENDUDUK!H149)</f>
        <v/>
      </c>
      <c r="G149" s="10" t="str">
        <f t="shared" ca="1" si="4"/>
        <v/>
      </c>
      <c r="H149" t="str">
        <f t="shared" ca="1" si="5"/>
        <v/>
      </c>
    </row>
    <row r="150" spans="1:8" x14ac:dyDescent="0.25">
      <c r="A150" s="10" t="str">
        <f>IF(DATAPENDUDUK!A150="","",DATAPENDUDUK!A150)</f>
        <v/>
      </c>
      <c r="B150" s="13" t="str">
        <f>IF(DATAPENDUDUK!B150="","",DATAPENDUDUK!B150)</f>
        <v/>
      </c>
      <c r="C150" s="10" t="str">
        <f>IF(DATAPENDUDUK!C150="","",DATAPENDUDUK!C150)</f>
        <v/>
      </c>
      <c r="D150" s="10" t="str">
        <f>IF(DATAPENDUDUK!E150="","",DATAPENDUDUK!E150)</f>
        <v/>
      </c>
      <c r="E150" s="10" t="str">
        <f>IF(DATAPENDUDUK!F150="","",DATAPENDUDUK!F150)</f>
        <v/>
      </c>
      <c r="F150" s="11" t="str">
        <f>IF(DATAPENDUDUK!H150="","",DATAPENDUDUK!H150)</f>
        <v/>
      </c>
      <c r="G150" s="10" t="str">
        <f t="shared" ca="1" si="4"/>
        <v/>
      </c>
      <c r="H150" t="str">
        <f t="shared" ca="1" si="5"/>
        <v/>
      </c>
    </row>
    <row r="151" spans="1:8" x14ac:dyDescent="0.25">
      <c r="A151" s="10" t="str">
        <f>IF(DATAPENDUDUK!A151="","",DATAPENDUDUK!A151)</f>
        <v/>
      </c>
      <c r="B151" s="13" t="str">
        <f>IF(DATAPENDUDUK!B151="","",DATAPENDUDUK!B151)</f>
        <v/>
      </c>
      <c r="C151" s="10" t="str">
        <f>IF(DATAPENDUDUK!C151="","",DATAPENDUDUK!C151)</f>
        <v/>
      </c>
      <c r="D151" s="10" t="str">
        <f>IF(DATAPENDUDUK!E151="","",DATAPENDUDUK!E151)</f>
        <v/>
      </c>
      <c r="E151" s="10" t="str">
        <f>IF(DATAPENDUDUK!F151="","",DATAPENDUDUK!F151)</f>
        <v/>
      </c>
      <c r="F151" s="11" t="str">
        <f>IF(DATAPENDUDUK!H151="","",DATAPENDUDUK!H151)</f>
        <v/>
      </c>
      <c r="G151" s="10" t="str">
        <f t="shared" ca="1" si="4"/>
        <v/>
      </c>
      <c r="H151" t="str">
        <f t="shared" ca="1" si="5"/>
        <v/>
      </c>
    </row>
    <row r="152" spans="1:8" x14ac:dyDescent="0.25">
      <c r="A152" s="10" t="str">
        <f>IF(DATAPENDUDUK!A152="","",DATAPENDUDUK!A152)</f>
        <v/>
      </c>
      <c r="B152" s="13" t="str">
        <f>IF(DATAPENDUDUK!B152="","",DATAPENDUDUK!B152)</f>
        <v/>
      </c>
      <c r="C152" s="10" t="str">
        <f>IF(DATAPENDUDUK!C152="","",DATAPENDUDUK!C152)</f>
        <v/>
      </c>
      <c r="D152" s="10" t="str">
        <f>IF(DATAPENDUDUK!E152="","",DATAPENDUDUK!E152)</f>
        <v/>
      </c>
      <c r="E152" s="10" t="str">
        <f>IF(DATAPENDUDUK!F152="","",DATAPENDUDUK!F152)</f>
        <v/>
      </c>
      <c r="F152" s="11" t="str">
        <f>IF(DATAPENDUDUK!H152="","",DATAPENDUDUK!H152)</f>
        <v/>
      </c>
      <c r="G152" s="10" t="str">
        <f t="shared" ca="1" si="4"/>
        <v/>
      </c>
      <c r="H152" t="str">
        <f t="shared" ca="1" si="5"/>
        <v/>
      </c>
    </row>
    <row r="153" spans="1:8" x14ac:dyDescent="0.25">
      <c r="A153" s="10" t="str">
        <f>IF(DATAPENDUDUK!A153="","",DATAPENDUDUK!A153)</f>
        <v/>
      </c>
      <c r="B153" s="13" t="str">
        <f>IF(DATAPENDUDUK!B153="","",DATAPENDUDUK!B153)</f>
        <v/>
      </c>
      <c r="C153" s="10" t="str">
        <f>IF(DATAPENDUDUK!C153="","",DATAPENDUDUK!C153)</f>
        <v/>
      </c>
      <c r="D153" s="10" t="str">
        <f>IF(DATAPENDUDUK!E153="","",DATAPENDUDUK!E153)</f>
        <v/>
      </c>
      <c r="E153" s="10" t="str">
        <f>IF(DATAPENDUDUK!F153="","",DATAPENDUDUK!F153)</f>
        <v/>
      </c>
      <c r="F153" s="11" t="str">
        <f>IF(DATAPENDUDUK!H153="","",DATAPENDUDUK!H153)</f>
        <v/>
      </c>
      <c r="G153" s="10" t="str">
        <f t="shared" ca="1" si="4"/>
        <v/>
      </c>
      <c r="H153" t="str">
        <f t="shared" ca="1" si="5"/>
        <v/>
      </c>
    </row>
    <row r="154" spans="1:8" x14ac:dyDescent="0.25">
      <c r="A154" s="10" t="str">
        <f>IF(DATAPENDUDUK!A154="","",DATAPENDUDUK!A154)</f>
        <v/>
      </c>
      <c r="B154" s="13" t="str">
        <f>IF(DATAPENDUDUK!B154="","",DATAPENDUDUK!B154)</f>
        <v/>
      </c>
      <c r="C154" s="10" t="str">
        <f>IF(DATAPENDUDUK!C154="","",DATAPENDUDUK!C154)</f>
        <v/>
      </c>
      <c r="D154" s="10" t="str">
        <f>IF(DATAPENDUDUK!E154="","",DATAPENDUDUK!E154)</f>
        <v/>
      </c>
      <c r="E154" s="10" t="str">
        <f>IF(DATAPENDUDUK!F154="","",DATAPENDUDUK!F154)</f>
        <v/>
      </c>
      <c r="F154" s="11" t="str">
        <f>IF(DATAPENDUDUK!H154="","",DATAPENDUDUK!H154)</f>
        <v/>
      </c>
      <c r="G154" s="10" t="str">
        <f t="shared" ca="1" si="4"/>
        <v/>
      </c>
      <c r="H154" t="str">
        <f t="shared" ca="1" si="5"/>
        <v/>
      </c>
    </row>
    <row r="155" spans="1:8" x14ac:dyDescent="0.25">
      <c r="A155" s="10" t="str">
        <f>IF(DATAPENDUDUK!A155="","",DATAPENDUDUK!A155)</f>
        <v/>
      </c>
      <c r="B155" s="13" t="str">
        <f>IF(DATAPENDUDUK!B155="","",DATAPENDUDUK!B155)</f>
        <v/>
      </c>
      <c r="C155" s="10" t="str">
        <f>IF(DATAPENDUDUK!C155="","",DATAPENDUDUK!C155)</f>
        <v/>
      </c>
      <c r="D155" s="10" t="str">
        <f>IF(DATAPENDUDUK!E155="","",DATAPENDUDUK!E155)</f>
        <v/>
      </c>
      <c r="E155" s="10" t="str">
        <f>IF(DATAPENDUDUK!F155="","",DATAPENDUDUK!F155)</f>
        <v/>
      </c>
      <c r="F155" s="11" t="str">
        <f>IF(DATAPENDUDUK!H155="","",DATAPENDUDUK!H155)</f>
        <v/>
      </c>
      <c r="G155" s="10" t="str">
        <f t="shared" ca="1" si="4"/>
        <v/>
      </c>
      <c r="H155" t="str">
        <f t="shared" ca="1" si="5"/>
        <v/>
      </c>
    </row>
    <row r="156" spans="1:8" x14ac:dyDescent="0.25">
      <c r="A156" s="10" t="str">
        <f>IF(DATAPENDUDUK!A156="","",DATAPENDUDUK!A156)</f>
        <v/>
      </c>
      <c r="B156" s="13" t="str">
        <f>IF(DATAPENDUDUK!B156="","",DATAPENDUDUK!B156)</f>
        <v/>
      </c>
      <c r="C156" s="10" t="str">
        <f>IF(DATAPENDUDUK!C156="","",DATAPENDUDUK!C156)</f>
        <v/>
      </c>
      <c r="D156" s="10" t="str">
        <f>IF(DATAPENDUDUK!E156="","",DATAPENDUDUK!E156)</f>
        <v/>
      </c>
      <c r="E156" s="10" t="str">
        <f>IF(DATAPENDUDUK!F156="","",DATAPENDUDUK!F156)</f>
        <v/>
      </c>
      <c r="F156" s="11" t="str">
        <f>IF(DATAPENDUDUK!H156="","",DATAPENDUDUK!H156)</f>
        <v/>
      </c>
      <c r="G156" s="10" t="str">
        <f t="shared" ca="1" si="4"/>
        <v/>
      </c>
      <c r="H156" t="str">
        <f t="shared" ca="1" si="5"/>
        <v/>
      </c>
    </row>
    <row r="157" spans="1:8" x14ac:dyDescent="0.25">
      <c r="A157" s="10" t="str">
        <f>IF(DATAPENDUDUK!A157="","",DATAPENDUDUK!A157)</f>
        <v/>
      </c>
      <c r="B157" s="13" t="str">
        <f>IF(DATAPENDUDUK!B157="","",DATAPENDUDUK!B157)</f>
        <v/>
      </c>
      <c r="C157" s="10" t="str">
        <f>IF(DATAPENDUDUK!C157="","",DATAPENDUDUK!C157)</f>
        <v/>
      </c>
      <c r="D157" s="10" t="str">
        <f>IF(DATAPENDUDUK!E157="","",DATAPENDUDUK!E157)</f>
        <v/>
      </c>
      <c r="E157" s="10" t="str">
        <f>IF(DATAPENDUDUK!F157="","",DATAPENDUDUK!F157)</f>
        <v/>
      </c>
      <c r="F157" s="11" t="str">
        <f>IF(DATAPENDUDUK!H157="","",DATAPENDUDUK!H157)</f>
        <v/>
      </c>
      <c r="G157" s="10" t="str">
        <f t="shared" ca="1" si="4"/>
        <v/>
      </c>
      <c r="H157" t="str">
        <f t="shared" ca="1" si="5"/>
        <v/>
      </c>
    </row>
    <row r="158" spans="1:8" x14ac:dyDescent="0.25">
      <c r="A158" s="10" t="str">
        <f>IF(DATAPENDUDUK!A158="","",DATAPENDUDUK!A158)</f>
        <v/>
      </c>
      <c r="B158" s="13" t="str">
        <f>IF(DATAPENDUDUK!B158="","",DATAPENDUDUK!B158)</f>
        <v/>
      </c>
      <c r="C158" s="10" t="str">
        <f>IF(DATAPENDUDUK!C158="","",DATAPENDUDUK!C158)</f>
        <v/>
      </c>
      <c r="D158" s="10" t="str">
        <f>IF(DATAPENDUDUK!E158="","",DATAPENDUDUK!E158)</f>
        <v/>
      </c>
      <c r="E158" s="10" t="str">
        <f>IF(DATAPENDUDUK!F158="","",DATAPENDUDUK!F158)</f>
        <v/>
      </c>
      <c r="F158" s="11" t="str">
        <f>IF(DATAPENDUDUK!H158="","",DATAPENDUDUK!H158)</f>
        <v/>
      </c>
      <c r="G158" s="10" t="str">
        <f t="shared" ca="1" si="4"/>
        <v/>
      </c>
      <c r="H158" t="str">
        <f t="shared" ca="1" si="5"/>
        <v/>
      </c>
    </row>
    <row r="159" spans="1:8" x14ac:dyDescent="0.25">
      <c r="A159" s="10" t="str">
        <f>IF(DATAPENDUDUK!A159="","",DATAPENDUDUK!A159)</f>
        <v/>
      </c>
      <c r="B159" s="13" t="str">
        <f>IF(DATAPENDUDUK!B159="","",DATAPENDUDUK!B159)</f>
        <v/>
      </c>
      <c r="C159" s="10" t="str">
        <f>IF(DATAPENDUDUK!C159="","",DATAPENDUDUK!C159)</f>
        <v/>
      </c>
      <c r="D159" s="10" t="str">
        <f>IF(DATAPENDUDUK!E159="","",DATAPENDUDUK!E159)</f>
        <v/>
      </c>
      <c r="E159" s="10" t="str">
        <f>IF(DATAPENDUDUK!F159="","",DATAPENDUDUK!F159)</f>
        <v/>
      </c>
      <c r="F159" s="11" t="str">
        <f>IF(DATAPENDUDUK!H159="","",DATAPENDUDUK!H159)</f>
        <v/>
      </c>
      <c r="G159" s="10" t="str">
        <f t="shared" ca="1" si="4"/>
        <v/>
      </c>
      <c r="H159" t="str">
        <f t="shared" ca="1" si="5"/>
        <v/>
      </c>
    </row>
    <row r="160" spans="1:8" x14ac:dyDescent="0.25">
      <c r="A160" s="10" t="str">
        <f>IF(DATAPENDUDUK!A160="","",DATAPENDUDUK!A160)</f>
        <v/>
      </c>
      <c r="B160" s="13" t="str">
        <f>IF(DATAPENDUDUK!B160="","",DATAPENDUDUK!B160)</f>
        <v/>
      </c>
      <c r="C160" s="10" t="str">
        <f>IF(DATAPENDUDUK!C160="","",DATAPENDUDUK!C160)</f>
        <v/>
      </c>
      <c r="D160" s="10" t="str">
        <f>IF(DATAPENDUDUK!E160="","",DATAPENDUDUK!E160)</f>
        <v/>
      </c>
      <c r="E160" s="10" t="str">
        <f>IF(DATAPENDUDUK!F160="","",DATAPENDUDUK!F160)</f>
        <v/>
      </c>
      <c r="F160" s="11" t="str">
        <f>IF(DATAPENDUDUK!H160="","",DATAPENDUDUK!H160)</f>
        <v/>
      </c>
      <c r="G160" s="10" t="str">
        <f t="shared" ca="1" si="4"/>
        <v/>
      </c>
      <c r="H160" t="str">
        <f t="shared" ca="1" si="5"/>
        <v/>
      </c>
    </row>
    <row r="161" spans="1:8" x14ac:dyDescent="0.25">
      <c r="A161" s="10" t="str">
        <f>IF(DATAPENDUDUK!A161="","",DATAPENDUDUK!A161)</f>
        <v/>
      </c>
      <c r="B161" s="13" t="str">
        <f>IF(DATAPENDUDUK!B161="","",DATAPENDUDUK!B161)</f>
        <v/>
      </c>
      <c r="C161" s="10" t="str">
        <f>IF(DATAPENDUDUK!C161="","",DATAPENDUDUK!C161)</f>
        <v/>
      </c>
      <c r="D161" s="10" t="str">
        <f>IF(DATAPENDUDUK!E161="","",DATAPENDUDUK!E161)</f>
        <v/>
      </c>
      <c r="E161" s="10" t="str">
        <f>IF(DATAPENDUDUK!F161="","",DATAPENDUDUK!F161)</f>
        <v/>
      </c>
      <c r="F161" s="11" t="str">
        <f>IF(DATAPENDUDUK!H161="","",DATAPENDUDUK!H161)</f>
        <v/>
      </c>
      <c r="G161" s="10" t="str">
        <f t="shared" ca="1" si="4"/>
        <v/>
      </c>
      <c r="H161" t="str">
        <f t="shared" ca="1" si="5"/>
        <v/>
      </c>
    </row>
    <row r="162" spans="1:8" x14ac:dyDescent="0.25">
      <c r="A162" s="10" t="str">
        <f>IF(DATAPENDUDUK!A162="","",DATAPENDUDUK!A162)</f>
        <v/>
      </c>
      <c r="B162" s="13" t="str">
        <f>IF(DATAPENDUDUK!B162="","",DATAPENDUDUK!B162)</f>
        <v/>
      </c>
      <c r="C162" s="10" t="str">
        <f>IF(DATAPENDUDUK!C162="","",DATAPENDUDUK!C162)</f>
        <v/>
      </c>
      <c r="D162" s="10" t="str">
        <f>IF(DATAPENDUDUK!E162="","",DATAPENDUDUK!E162)</f>
        <v/>
      </c>
      <c r="E162" s="10" t="str">
        <f>IF(DATAPENDUDUK!F162="","",DATAPENDUDUK!F162)</f>
        <v/>
      </c>
      <c r="F162" s="11" t="str">
        <f>IF(DATAPENDUDUK!H162="","",DATAPENDUDUK!H162)</f>
        <v/>
      </c>
      <c r="G162" s="10" t="str">
        <f t="shared" ca="1" si="4"/>
        <v/>
      </c>
      <c r="H162" t="str">
        <f t="shared" ca="1" si="5"/>
        <v/>
      </c>
    </row>
    <row r="163" spans="1:8" x14ac:dyDescent="0.25">
      <c r="A163" s="10" t="str">
        <f>IF(DATAPENDUDUK!A163="","",DATAPENDUDUK!A163)</f>
        <v/>
      </c>
      <c r="B163" s="13" t="str">
        <f>IF(DATAPENDUDUK!B163="","",DATAPENDUDUK!B163)</f>
        <v/>
      </c>
      <c r="C163" s="10" t="str">
        <f>IF(DATAPENDUDUK!C163="","",DATAPENDUDUK!C163)</f>
        <v/>
      </c>
      <c r="D163" s="10" t="str">
        <f>IF(DATAPENDUDUK!E163="","",DATAPENDUDUK!E163)</f>
        <v/>
      </c>
      <c r="E163" s="10" t="str">
        <f>IF(DATAPENDUDUK!F163="","",DATAPENDUDUK!F163)</f>
        <v/>
      </c>
      <c r="F163" s="11" t="str">
        <f>IF(DATAPENDUDUK!H163="","",DATAPENDUDUK!H163)</f>
        <v/>
      </c>
      <c r="G163" s="10" t="str">
        <f t="shared" ca="1" si="4"/>
        <v/>
      </c>
      <c r="H163" t="str">
        <f t="shared" ca="1" si="5"/>
        <v/>
      </c>
    </row>
    <row r="164" spans="1:8" x14ac:dyDescent="0.25">
      <c r="A164" s="10" t="str">
        <f>IF(DATAPENDUDUK!A164="","",DATAPENDUDUK!A164)</f>
        <v/>
      </c>
      <c r="B164" s="13" t="str">
        <f>IF(DATAPENDUDUK!B164="","",DATAPENDUDUK!B164)</f>
        <v/>
      </c>
      <c r="C164" s="10" t="str">
        <f>IF(DATAPENDUDUK!C164="","",DATAPENDUDUK!C164)</f>
        <v/>
      </c>
      <c r="D164" s="10" t="str">
        <f>IF(DATAPENDUDUK!E164="","",DATAPENDUDUK!E164)</f>
        <v/>
      </c>
      <c r="E164" s="10" t="str">
        <f>IF(DATAPENDUDUK!F164="","",DATAPENDUDUK!F164)</f>
        <v/>
      </c>
      <c r="F164" s="11" t="str">
        <f>IF(DATAPENDUDUK!H164="","",DATAPENDUDUK!H164)</f>
        <v/>
      </c>
      <c r="G164" s="10" t="str">
        <f t="shared" ca="1" si="4"/>
        <v/>
      </c>
      <c r="H164" t="str">
        <f t="shared" ca="1" si="5"/>
        <v/>
      </c>
    </row>
    <row r="165" spans="1:8" x14ac:dyDescent="0.25">
      <c r="A165" s="10" t="str">
        <f>IF(DATAPENDUDUK!A165="","",DATAPENDUDUK!A165)</f>
        <v/>
      </c>
      <c r="B165" s="13" t="str">
        <f>IF(DATAPENDUDUK!B165="","",DATAPENDUDUK!B165)</f>
        <v/>
      </c>
      <c r="C165" s="10" t="str">
        <f>IF(DATAPENDUDUK!C165="","",DATAPENDUDUK!C165)</f>
        <v/>
      </c>
      <c r="D165" s="10" t="str">
        <f>IF(DATAPENDUDUK!E165="","",DATAPENDUDUK!E165)</f>
        <v/>
      </c>
      <c r="E165" s="10" t="str">
        <f>IF(DATAPENDUDUK!F165="","",DATAPENDUDUK!F165)</f>
        <v/>
      </c>
      <c r="F165" s="11" t="str">
        <f>IF(DATAPENDUDUK!H165="","",DATAPENDUDUK!H165)</f>
        <v/>
      </c>
      <c r="G165" s="10" t="str">
        <f t="shared" ca="1" si="4"/>
        <v/>
      </c>
      <c r="H165" t="str">
        <f t="shared" ca="1" si="5"/>
        <v/>
      </c>
    </row>
    <row r="166" spans="1:8" x14ac:dyDescent="0.25">
      <c r="A166" s="10" t="str">
        <f>IF(DATAPENDUDUK!A166="","",DATAPENDUDUK!A166)</f>
        <v/>
      </c>
      <c r="B166" s="13" t="str">
        <f>IF(DATAPENDUDUK!B166="","",DATAPENDUDUK!B166)</f>
        <v/>
      </c>
      <c r="C166" s="10" t="str">
        <f>IF(DATAPENDUDUK!C166="","",DATAPENDUDUK!C166)</f>
        <v/>
      </c>
      <c r="D166" s="10" t="str">
        <f>IF(DATAPENDUDUK!E166="","",DATAPENDUDUK!E166)</f>
        <v/>
      </c>
      <c r="E166" s="10" t="str">
        <f>IF(DATAPENDUDUK!F166="","",DATAPENDUDUK!F166)</f>
        <v/>
      </c>
      <c r="F166" s="11" t="str">
        <f>IF(DATAPENDUDUK!H166="","",DATAPENDUDUK!H166)</f>
        <v/>
      </c>
      <c r="G166" s="10" t="str">
        <f t="shared" ca="1" si="4"/>
        <v/>
      </c>
      <c r="H166" t="str">
        <f t="shared" ca="1" si="5"/>
        <v/>
      </c>
    </row>
    <row r="167" spans="1:8" x14ac:dyDescent="0.25">
      <c r="A167" s="10" t="str">
        <f>IF(DATAPENDUDUK!A167="","",DATAPENDUDUK!A167)</f>
        <v/>
      </c>
      <c r="B167" s="13" t="str">
        <f>IF(DATAPENDUDUK!B167="","",DATAPENDUDUK!B167)</f>
        <v/>
      </c>
      <c r="C167" s="10" t="str">
        <f>IF(DATAPENDUDUK!C167="","",DATAPENDUDUK!C167)</f>
        <v/>
      </c>
      <c r="D167" s="10" t="str">
        <f>IF(DATAPENDUDUK!E167="","",DATAPENDUDUK!E167)</f>
        <v/>
      </c>
      <c r="E167" s="10" t="str">
        <f>IF(DATAPENDUDUK!F167="","",DATAPENDUDUK!F167)</f>
        <v/>
      </c>
      <c r="F167" s="11" t="str">
        <f>IF(DATAPENDUDUK!H167="","",DATAPENDUDUK!H167)</f>
        <v/>
      </c>
      <c r="G167" s="10" t="str">
        <f t="shared" ca="1" si="4"/>
        <v/>
      </c>
      <c r="H167" t="str">
        <f t="shared" ca="1" si="5"/>
        <v/>
      </c>
    </row>
    <row r="168" spans="1:8" x14ac:dyDescent="0.25">
      <c r="A168" s="10" t="str">
        <f>IF(DATAPENDUDUK!A168="","",DATAPENDUDUK!A168)</f>
        <v/>
      </c>
      <c r="B168" s="13" t="str">
        <f>IF(DATAPENDUDUK!B168="","",DATAPENDUDUK!B168)</f>
        <v/>
      </c>
      <c r="C168" s="10" t="str">
        <f>IF(DATAPENDUDUK!C168="","",DATAPENDUDUK!C168)</f>
        <v/>
      </c>
      <c r="D168" s="10" t="str">
        <f>IF(DATAPENDUDUK!E168="","",DATAPENDUDUK!E168)</f>
        <v/>
      </c>
      <c r="E168" s="10" t="str">
        <f>IF(DATAPENDUDUK!F168="","",DATAPENDUDUK!F168)</f>
        <v/>
      </c>
      <c r="F168" s="11" t="str">
        <f>IF(DATAPENDUDUK!H168="","",DATAPENDUDUK!H168)</f>
        <v/>
      </c>
      <c r="G168" s="10" t="str">
        <f t="shared" ca="1" si="4"/>
        <v/>
      </c>
      <c r="H168" t="str">
        <f t="shared" ca="1" si="5"/>
        <v/>
      </c>
    </row>
    <row r="169" spans="1:8" x14ac:dyDescent="0.25">
      <c r="A169" s="10" t="str">
        <f>IF(DATAPENDUDUK!A169="","",DATAPENDUDUK!A169)</f>
        <v/>
      </c>
      <c r="B169" s="13" t="str">
        <f>IF(DATAPENDUDUK!B169="","",DATAPENDUDUK!B169)</f>
        <v/>
      </c>
      <c r="C169" s="10" t="str">
        <f>IF(DATAPENDUDUK!C169="","",DATAPENDUDUK!C169)</f>
        <v/>
      </c>
      <c r="D169" s="10" t="str">
        <f>IF(DATAPENDUDUK!E169="","",DATAPENDUDUK!E169)</f>
        <v/>
      </c>
      <c r="E169" s="10" t="str">
        <f>IF(DATAPENDUDUK!F169="","",DATAPENDUDUK!F169)</f>
        <v/>
      </c>
      <c r="F169" s="11" t="str">
        <f>IF(DATAPENDUDUK!H169="","",DATAPENDUDUK!H169)</f>
        <v/>
      </c>
      <c r="G169" s="10" t="str">
        <f t="shared" ca="1" si="4"/>
        <v/>
      </c>
      <c r="H169" t="str">
        <f t="shared" ca="1" si="5"/>
        <v/>
      </c>
    </row>
    <row r="170" spans="1:8" x14ac:dyDescent="0.25">
      <c r="A170" s="10" t="str">
        <f>IF(DATAPENDUDUK!A170="","",DATAPENDUDUK!A170)</f>
        <v/>
      </c>
      <c r="B170" s="13" t="str">
        <f>IF(DATAPENDUDUK!B170="","",DATAPENDUDUK!B170)</f>
        <v/>
      </c>
      <c r="C170" s="10" t="str">
        <f>IF(DATAPENDUDUK!C170="","",DATAPENDUDUK!C170)</f>
        <v/>
      </c>
      <c r="D170" s="10" t="str">
        <f>IF(DATAPENDUDUK!E170="","",DATAPENDUDUK!E170)</f>
        <v/>
      </c>
      <c r="E170" s="10" t="str">
        <f>IF(DATAPENDUDUK!F170="","",DATAPENDUDUK!F170)</f>
        <v/>
      </c>
      <c r="F170" s="11" t="str">
        <f>IF(DATAPENDUDUK!H170="","",DATAPENDUDUK!H170)</f>
        <v/>
      </c>
      <c r="G170" s="10" t="str">
        <f t="shared" ca="1" si="4"/>
        <v/>
      </c>
      <c r="H170" t="str">
        <f t="shared" ca="1" si="5"/>
        <v/>
      </c>
    </row>
    <row r="171" spans="1:8" x14ac:dyDescent="0.25">
      <c r="A171" s="10" t="str">
        <f>IF(DATAPENDUDUK!A171="","",DATAPENDUDUK!A171)</f>
        <v/>
      </c>
      <c r="B171" s="13" t="str">
        <f>IF(DATAPENDUDUK!B171="","",DATAPENDUDUK!B171)</f>
        <v/>
      </c>
      <c r="C171" s="10" t="str">
        <f>IF(DATAPENDUDUK!C171="","",DATAPENDUDUK!C171)</f>
        <v/>
      </c>
      <c r="D171" s="10" t="str">
        <f>IF(DATAPENDUDUK!E171="","",DATAPENDUDUK!E171)</f>
        <v/>
      </c>
      <c r="E171" s="10" t="str">
        <f>IF(DATAPENDUDUK!F171="","",DATAPENDUDUK!F171)</f>
        <v/>
      </c>
      <c r="F171" s="11" t="str">
        <f>IF(DATAPENDUDUK!H171="","",DATAPENDUDUK!H171)</f>
        <v/>
      </c>
      <c r="G171" s="10" t="str">
        <f t="shared" ca="1" si="4"/>
        <v/>
      </c>
      <c r="H171" t="str">
        <f t="shared" ca="1" si="5"/>
        <v/>
      </c>
    </row>
    <row r="172" spans="1:8" x14ac:dyDescent="0.25">
      <c r="A172" s="10" t="str">
        <f>IF(DATAPENDUDUK!A172="","",DATAPENDUDUK!A172)</f>
        <v/>
      </c>
      <c r="B172" s="13" t="str">
        <f>IF(DATAPENDUDUK!B172="","",DATAPENDUDUK!B172)</f>
        <v/>
      </c>
      <c r="C172" s="10" t="str">
        <f>IF(DATAPENDUDUK!C172="","",DATAPENDUDUK!C172)</f>
        <v/>
      </c>
      <c r="D172" s="10" t="str">
        <f>IF(DATAPENDUDUK!E172="","",DATAPENDUDUK!E172)</f>
        <v/>
      </c>
      <c r="E172" s="10" t="str">
        <f>IF(DATAPENDUDUK!F172="","",DATAPENDUDUK!F172)</f>
        <v/>
      </c>
      <c r="F172" s="11" t="str">
        <f>IF(DATAPENDUDUK!H172="","",DATAPENDUDUK!H172)</f>
        <v/>
      </c>
      <c r="G172" s="10" t="str">
        <f t="shared" ca="1" si="4"/>
        <v/>
      </c>
      <c r="H172" t="str">
        <f t="shared" ca="1" si="5"/>
        <v/>
      </c>
    </row>
    <row r="173" spans="1:8" x14ac:dyDescent="0.25">
      <c r="A173" s="10" t="str">
        <f>IF(DATAPENDUDUK!A173="","",DATAPENDUDUK!A173)</f>
        <v/>
      </c>
      <c r="B173" s="13" t="str">
        <f>IF(DATAPENDUDUK!B173="","",DATAPENDUDUK!B173)</f>
        <v/>
      </c>
      <c r="C173" s="10" t="str">
        <f>IF(DATAPENDUDUK!C173="","",DATAPENDUDUK!C173)</f>
        <v/>
      </c>
      <c r="D173" s="10" t="str">
        <f>IF(DATAPENDUDUK!E173="","",DATAPENDUDUK!E173)</f>
        <v/>
      </c>
      <c r="E173" s="10" t="str">
        <f>IF(DATAPENDUDUK!F173="","",DATAPENDUDUK!F173)</f>
        <v/>
      </c>
      <c r="F173" s="11" t="str">
        <f>IF(DATAPENDUDUK!H173="","",DATAPENDUDUK!H173)</f>
        <v/>
      </c>
      <c r="G173" s="10" t="str">
        <f t="shared" ca="1" si="4"/>
        <v/>
      </c>
      <c r="H173" t="str">
        <f t="shared" ca="1" si="5"/>
        <v/>
      </c>
    </row>
    <row r="174" spans="1:8" x14ac:dyDescent="0.25">
      <c r="A174" s="10" t="str">
        <f>IF(DATAPENDUDUK!A174="","",DATAPENDUDUK!A174)</f>
        <v/>
      </c>
      <c r="B174" s="13" t="str">
        <f>IF(DATAPENDUDUK!B174="","",DATAPENDUDUK!B174)</f>
        <v/>
      </c>
      <c r="C174" s="10" t="str">
        <f>IF(DATAPENDUDUK!C174="","",DATAPENDUDUK!C174)</f>
        <v/>
      </c>
      <c r="D174" s="10" t="str">
        <f>IF(DATAPENDUDUK!E174="","",DATAPENDUDUK!E174)</f>
        <v/>
      </c>
      <c r="E174" s="10" t="str">
        <f>IF(DATAPENDUDUK!F174="","",DATAPENDUDUK!F174)</f>
        <v/>
      </c>
      <c r="F174" s="11" t="str">
        <f>IF(DATAPENDUDUK!H174="","",DATAPENDUDUK!H174)</f>
        <v/>
      </c>
      <c r="G174" s="10" t="str">
        <f t="shared" ca="1" si="4"/>
        <v/>
      </c>
      <c r="H174" t="str">
        <f t="shared" ca="1" si="5"/>
        <v/>
      </c>
    </row>
    <row r="175" spans="1:8" x14ac:dyDescent="0.25">
      <c r="A175" s="10" t="str">
        <f>IF(DATAPENDUDUK!A175="","",DATAPENDUDUK!A175)</f>
        <v/>
      </c>
      <c r="B175" s="13" t="str">
        <f>IF(DATAPENDUDUK!B175="","",DATAPENDUDUK!B175)</f>
        <v/>
      </c>
      <c r="C175" s="10" t="str">
        <f>IF(DATAPENDUDUK!C175="","",DATAPENDUDUK!C175)</f>
        <v/>
      </c>
      <c r="D175" s="10" t="str">
        <f>IF(DATAPENDUDUK!E175="","",DATAPENDUDUK!E175)</f>
        <v/>
      </c>
      <c r="E175" s="10" t="str">
        <f>IF(DATAPENDUDUK!F175="","",DATAPENDUDUK!F175)</f>
        <v/>
      </c>
      <c r="F175" s="11" t="str">
        <f>IF(DATAPENDUDUK!H175="","",DATAPENDUDUK!H175)</f>
        <v/>
      </c>
      <c r="G175" s="10" t="str">
        <f t="shared" ca="1" si="4"/>
        <v/>
      </c>
      <c r="H175" t="str">
        <f t="shared" ca="1" si="5"/>
        <v/>
      </c>
    </row>
    <row r="176" spans="1:8" x14ac:dyDescent="0.25">
      <c r="A176" s="10" t="str">
        <f>IF(DATAPENDUDUK!A176="","",DATAPENDUDUK!A176)</f>
        <v/>
      </c>
      <c r="B176" s="13" t="str">
        <f>IF(DATAPENDUDUK!B176="","",DATAPENDUDUK!B176)</f>
        <v/>
      </c>
      <c r="C176" s="10" t="str">
        <f>IF(DATAPENDUDUK!C176="","",DATAPENDUDUK!C176)</f>
        <v/>
      </c>
      <c r="D176" s="10" t="str">
        <f>IF(DATAPENDUDUK!E176="","",DATAPENDUDUK!E176)</f>
        <v/>
      </c>
      <c r="E176" s="10" t="str">
        <f>IF(DATAPENDUDUK!F176="","",DATAPENDUDUK!F176)</f>
        <v/>
      </c>
      <c r="F176" s="11" t="str">
        <f>IF(DATAPENDUDUK!H176="","",DATAPENDUDUK!H176)</f>
        <v/>
      </c>
      <c r="G176" s="10" t="str">
        <f t="shared" ca="1" si="4"/>
        <v/>
      </c>
      <c r="H176" t="str">
        <f t="shared" ca="1" si="5"/>
        <v/>
      </c>
    </row>
    <row r="177" spans="1:8" x14ac:dyDescent="0.25">
      <c r="A177" s="10" t="str">
        <f>IF(DATAPENDUDUK!A177="","",DATAPENDUDUK!A177)</f>
        <v/>
      </c>
      <c r="B177" s="13" t="str">
        <f>IF(DATAPENDUDUK!B177="","",DATAPENDUDUK!B177)</f>
        <v/>
      </c>
      <c r="C177" s="10" t="str">
        <f>IF(DATAPENDUDUK!C177="","",DATAPENDUDUK!C177)</f>
        <v/>
      </c>
      <c r="D177" s="10" t="str">
        <f>IF(DATAPENDUDUK!E177="","",DATAPENDUDUK!E177)</f>
        <v/>
      </c>
      <c r="E177" s="10" t="str">
        <f>IF(DATAPENDUDUK!F177="","",DATAPENDUDUK!F177)</f>
        <v/>
      </c>
      <c r="F177" s="11" t="str">
        <f>IF(DATAPENDUDUK!H177="","",DATAPENDUDUK!H177)</f>
        <v/>
      </c>
      <c r="G177" s="10" t="str">
        <f t="shared" ca="1" si="4"/>
        <v/>
      </c>
      <c r="H177" t="str">
        <f t="shared" ca="1" si="5"/>
        <v/>
      </c>
    </row>
    <row r="178" spans="1:8" x14ac:dyDescent="0.25">
      <c r="A178" s="10" t="str">
        <f>IF(DATAPENDUDUK!A178="","",DATAPENDUDUK!A178)</f>
        <v/>
      </c>
      <c r="B178" s="13" t="str">
        <f>IF(DATAPENDUDUK!B178="","",DATAPENDUDUK!B178)</f>
        <v/>
      </c>
      <c r="C178" s="10" t="str">
        <f>IF(DATAPENDUDUK!C178="","",DATAPENDUDUK!C178)</f>
        <v/>
      </c>
      <c r="D178" s="10" t="str">
        <f>IF(DATAPENDUDUK!E178="","",DATAPENDUDUK!E178)</f>
        <v/>
      </c>
      <c r="E178" s="10" t="str">
        <f>IF(DATAPENDUDUK!F178="","",DATAPENDUDUK!F178)</f>
        <v/>
      </c>
      <c r="F178" s="11" t="str">
        <f>IF(DATAPENDUDUK!H178="","",DATAPENDUDUK!H178)</f>
        <v/>
      </c>
      <c r="G178" s="10" t="str">
        <f t="shared" ca="1" si="4"/>
        <v/>
      </c>
      <c r="H178" t="str">
        <f t="shared" ca="1" si="5"/>
        <v/>
      </c>
    </row>
    <row r="179" spans="1:8" x14ac:dyDescent="0.25">
      <c r="A179" s="10" t="str">
        <f>IF(DATAPENDUDUK!A179="","",DATAPENDUDUK!A179)</f>
        <v/>
      </c>
      <c r="B179" s="13" t="str">
        <f>IF(DATAPENDUDUK!B179="","",DATAPENDUDUK!B179)</f>
        <v/>
      </c>
      <c r="C179" s="10" t="str">
        <f>IF(DATAPENDUDUK!C179="","",DATAPENDUDUK!C179)</f>
        <v/>
      </c>
      <c r="D179" s="10" t="str">
        <f>IF(DATAPENDUDUK!E179="","",DATAPENDUDUK!E179)</f>
        <v/>
      </c>
      <c r="E179" s="10" t="str">
        <f>IF(DATAPENDUDUK!F179="","",DATAPENDUDUK!F179)</f>
        <v/>
      </c>
      <c r="F179" s="11" t="str">
        <f>IF(DATAPENDUDUK!H179="","",DATAPENDUDUK!H179)</f>
        <v/>
      </c>
      <c r="G179" s="10" t="str">
        <f t="shared" ca="1" si="4"/>
        <v/>
      </c>
      <c r="H179" t="str">
        <f t="shared" ca="1" si="5"/>
        <v/>
      </c>
    </row>
    <row r="180" spans="1:8" x14ac:dyDescent="0.25">
      <c r="A180" s="10" t="str">
        <f>IF(DATAPENDUDUK!A180="","",DATAPENDUDUK!A180)</f>
        <v/>
      </c>
      <c r="B180" s="13" t="str">
        <f>IF(DATAPENDUDUK!B180="","",DATAPENDUDUK!B180)</f>
        <v/>
      </c>
      <c r="C180" s="10" t="str">
        <f>IF(DATAPENDUDUK!C180="","",DATAPENDUDUK!C180)</f>
        <v/>
      </c>
      <c r="D180" s="10" t="str">
        <f>IF(DATAPENDUDUK!E180="","",DATAPENDUDUK!E180)</f>
        <v/>
      </c>
      <c r="E180" s="10" t="str">
        <f>IF(DATAPENDUDUK!F180="","",DATAPENDUDUK!F180)</f>
        <v/>
      </c>
      <c r="F180" s="11" t="str">
        <f>IF(DATAPENDUDUK!H180="","",DATAPENDUDUK!H180)</f>
        <v/>
      </c>
      <c r="G180" s="10" t="str">
        <f t="shared" ca="1" si="4"/>
        <v/>
      </c>
      <c r="H180" t="str">
        <f t="shared" ca="1" si="5"/>
        <v/>
      </c>
    </row>
    <row r="181" spans="1:8" x14ac:dyDescent="0.25">
      <c r="A181" s="10" t="str">
        <f>IF(DATAPENDUDUK!A181="","",DATAPENDUDUK!A181)</f>
        <v/>
      </c>
      <c r="B181" s="13" t="str">
        <f>IF(DATAPENDUDUK!B181="","",DATAPENDUDUK!B181)</f>
        <v/>
      </c>
      <c r="C181" s="10" t="str">
        <f>IF(DATAPENDUDUK!C181="","",DATAPENDUDUK!C181)</f>
        <v/>
      </c>
      <c r="D181" s="10" t="str">
        <f>IF(DATAPENDUDUK!E181="","",DATAPENDUDUK!E181)</f>
        <v/>
      </c>
      <c r="E181" s="10" t="str">
        <f>IF(DATAPENDUDUK!F181="","",DATAPENDUDUK!F181)</f>
        <v/>
      </c>
      <c r="F181" s="11" t="str">
        <f>IF(DATAPENDUDUK!H181="","",DATAPENDUDUK!H181)</f>
        <v/>
      </c>
      <c r="G181" s="10" t="str">
        <f t="shared" ca="1" si="4"/>
        <v/>
      </c>
      <c r="H181" t="str">
        <f t="shared" ca="1" si="5"/>
        <v/>
      </c>
    </row>
    <row r="182" spans="1:8" x14ac:dyDescent="0.25">
      <c r="A182" s="10" t="str">
        <f>IF(DATAPENDUDUK!A182="","",DATAPENDUDUK!A182)</f>
        <v/>
      </c>
      <c r="B182" s="13" t="str">
        <f>IF(DATAPENDUDUK!B182="","",DATAPENDUDUK!B182)</f>
        <v/>
      </c>
      <c r="C182" s="10" t="str">
        <f>IF(DATAPENDUDUK!C182="","",DATAPENDUDUK!C182)</f>
        <v/>
      </c>
      <c r="D182" s="10" t="str">
        <f>IF(DATAPENDUDUK!E182="","",DATAPENDUDUK!E182)</f>
        <v/>
      </c>
      <c r="E182" s="10" t="str">
        <f>IF(DATAPENDUDUK!F182="","",DATAPENDUDUK!F182)</f>
        <v/>
      </c>
      <c r="F182" s="11" t="str">
        <f>IF(DATAPENDUDUK!H182="","",DATAPENDUDUK!H182)</f>
        <v/>
      </c>
      <c r="G182" s="10" t="str">
        <f t="shared" ca="1" si="4"/>
        <v/>
      </c>
      <c r="H182" t="str">
        <f t="shared" ca="1" si="5"/>
        <v/>
      </c>
    </row>
    <row r="183" spans="1:8" x14ac:dyDescent="0.25">
      <c r="A183" s="10" t="str">
        <f>IF(DATAPENDUDUK!A183="","",DATAPENDUDUK!A183)</f>
        <v/>
      </c>
      <c r="B183" s="13" t="str">
        <f>IF(DATAPENDUDUK!B183="","",DATAPENDUDUK!B183)</f>
        <v/>
      </c>
      <c r="C183" s="10" t="str">
        <f>IF(DATAPENDUDUK!C183="","",DATAPENDUDUK!C183)</f>
        <v/>
      </c>
      <c r="D183" s="10" t="str">
        <f>IF(DATAPENDUDUK!E183="","",DATAPENDUDUK!E183)</f>
        <v/>
      </c>
      <c r="E183" s="10" t="str">
        <f>IF(DATAPENDUDUK!F183="","",DATAPENDUDUK!F183)</f>
        <v/>
      </c>
      <c r="F183" s="11" t="str">
        <f>IF(DATAPENDUDUK!H183="","",DATAPENDUDUK!H183)</f>
        <v/>
      </c>
      <c r="G183" s="10" t="str">
        <f t="shared" ca="1" si="4"/>
        <v/>
      </c>
      <c r="H183" t="str">
        <f t="shared" ca="1" si="5"/>
        <v/>
      </c>
    </row>
    <row r="184" spans="1:8" x14ac:dyDescent="0.25">
      <c r="A184" s="10" t="str">
        <f>IF(DATAPENDUDUK!A184="","",DATAPENDUDUK!A184)</f>
        <v/>
      </c>
      <c r="B184" s="13" t="str">
        <f>IF(DATAPENDUDUK!B184="","",DATAPENDUDUK!B184)</f>
        <v/>
      </c>
      <c r="C184" s="10" t="str">
        <f>IF(DATAPENDUDUK!C184="","",DATAPENDUDUK!C184)</f>
        <v/>
      </c>
      <c r="D184" s="10" t="str">
        <f>IF(DATAPENDUDUK!E184="","",DATAPENDUDUK!E184)</f>
        <v/>
      </c>
      <c r="E184" s="10" t="str">
        <f>IF(DATAPENDUDUK!F184="","",DATAPENDUDUK!F184)</f>
        <v/>
      </c>
      <c r="F184" s="11" t="str">
        <f>IF(DATAPENDUDUK!H184="","",DATAPENDUDUK!H184)</f>
        <v/>
      </c>
      <c r="G184" s="10" t="str">
        <f t="shared" ca="1" si="4"/>
        <v/>
      </c>
      <c r="H184" t="str">
        <f t="shared" ca="1" si="5"/>
        <v/>
      </c>
    </row>
    <row r="185" spans="1:8" x14ac:dyDescent="0.25">
      <c r="A185" s="10" t="str">
        <f>IF(DATAPENDUDUK!A185="","",DATAPENDUDUK!A185)</f>
        <v/>
      </c>
      <c r="B185" s="13" t="str">
        <f>IF(DATAPENDUDUK!B185="","",DATAPENDUDUK!B185)</f>
        <v/>
      </c>
      <c r="C185" s="10" t="str">
        <f>IF(DATAPENDUDUK!C185="","",DATAPENDUDUK!C185)</f>
        <v/>
      </c>
      <c r="D185" s="10" t="str">
        <f>IF(DATAPENDUDUK!E185="","",DATAPENDUDUK!E185)</f>
        <v/>
      </c>
      <c r="E185" s="10" t="str">
        <f>IF(DATAPENDUDUK!F185="","",DATAPENDUDUK!F185)</f>
        <v/>
      </c>
      <c r="F185" s="11" t="str">
        <f>IF(DATAPENDUDUK!H185="","",DATAPENDUDUK!H185)</f>
        <v/>
      </c>
      <c r="G185" s="10" t="str">
        <f t="shared" ca="1" si="4"/>
        <v/>
      </c>
      <c r="H185" t="str">
        <f t="shared" ca="1" si="5"/>
        <v/>
      </c>
    </row>
    <row r="186" spans="1:8" x14ac:dyDescent="0.25">
      <c r="A186" s="10" t="str">
        <f>IF(DATAPENDUDUK!A186="","",DATAPENDUDUK!A186)</f>
        <v/>
      </c>
      <c r="B186" s="13" t="str">
        <f>IF(DATAPENDUDUK!B186="","",DATAPENDUDUK!B186)</f>
        <v/>
      </c>
      <c r="C186" s="10" t="str">
        <f>IF(DATAPENDUDUK!C186="","",DATAPENDUDUK!C186)</f>
        <v/>
      </c>
      <c r="D186" s="10" t="str">
        <f>IF(DATAPENDUDUK!E186="","",DATAPENDUDUK!E186)</f>
        <v/>
      </c>
      <c r="E186" s="10" t="str">
        <f>IF(DATAPENDUDUK!F186="","",DATAPENDUDUK!F186)</f>
        <v/>
      </c>
      <c r="F186" s="11" t="str">
        <f>IF(DATAPENDUDUK!H186="","",DATAPENDUDUK!H186)</f>
        <v/>
      </c>
      <c r="G186" s="10" t="str">
        <f t="shared" ca="1" si="4"/>
        <v/>
      </c>
      <c r="H186" t="str">
        <f t="shared" ca="1" si="5"/>
        <v/>
      </c>
    </row>
    <row r="187" spans="1:8" x14ac:dyDescent="0.25">
      <c r="A187" s="10" t="str">
        <f>IF(DATAPENDUDUK!A187="","",DATAPENDUDUK!A187)</f>
        <v/>
      </c>
      <c r="B187" s="13" t="str">
        <f>IF(DATAPENDUDUK!B187="","",DATAPENDUDUK!B187)</f>
        <v/>
      </c>
      <c r="C187" s="10" t="str">
        <f>IF(DATAPENDUDUK!C187="","",DATAPENDUDUK!C187)</f>
        <v/>
      </c>
      <c r="D187" s="10" t="str">
        <f>IF(DATAPENDUDUK!E187="","",DATAPENDUDUK!E187)</f>
        <v/>
      </c>
      <c r="E187" s="10" t="str">
        <f>IF(DATAPENDUDUK!F187="","",DATAPENDUDUK!F187)</f>
        <v/>
      </c>
      <c r="F187" s="11" t="str">
        <f>IF(DATAPENDUDUK!H187="","",DATAPENDUDUK!H187)</f>
        <v/>
      </c>
      <c r="G187" s="10" t="str">
        <f t="shared" ca="1" si="4"/>
        <v/>
      </c>
      <c r="H187" t="str">
        <f t="shared" ca="1" si="5"/>
        <v/>
      </c>
    </row>
    <row r="188" spans="1:8" x14ac:dyDescent="0.25">
      <c r="A188" s="10" t="str">
        <f>IF(DATAPENDUDUK!A188="","",DATAPENDUDUK!A188)</f>
        <v/>
      </c>
      <c r="B188" s="13" t="str">
        <f>IF(DATAPENDUDUK!B188="","",DATAPENDUDUK!B188)</f>
        <v/>
      </c>
      <c r="C188" s="10" t="str">
        <f>IF(DATAPENDUDUK!C188="","",DATAPENDUDUK!C188)</f>
        <v/>
      </c>
      <c r="D188" s="10" t="str">
        <f>IF(DATAPENDUDUK!E188="","",DATAPENDUDUK!E188)</f>
        <v/>
      </c>
      <c r="E188" s="10" t="str">
        <f>IF(DATAPENDUDUK!F188="","",DATAPENDUDUK!F188)</f>
        <v/>
      </c>
      <c r="F188" s="11" t="str">
        <f>IF(DATAPENDUDUK!H188="","",DATAPENDUDUK!H188)</f>
        <v/>
      </c>
      <c r="G188" s="10" t="str">
        <f t="shared" ca="1" si="4"/>
        <v/>
      </c>
      <c r="H188" t="str">
        <f t="shared" ca="1" si="5"/>
        <v/>
      </c>
    </row>
    <row r="189" spans="1:8" x14ac:dyDescent="0.25">
      <c r="A189" s="10" t="str">
        <f>IF(DATAPENDUDUK!A189="","",DATAPENDUDUK!A189)</f>
        <v/>
      </c>
      <c r="B189" s="13" t="str">
        <f>IF(DATAPENDUDUK!B189="","",DATAPENDUDUK!B189)</f>
        <v/>
      </c>
      <c r="C189" s="10" t="str">
        <f>IF(DATAPENDUDUK!C189="","",DATAPENDUDUK!C189)</f>
        <v/>
      </c>
      <c r="D189" s="10" t="str">
        <f>IF(DATAPENDUDUK!E189="","",DATAPENDUDUK!E189)</f>
        <v/>
      </c>
      <c r="E189" s="10" t="str">
        <f>IF(DATAPENDUDUK!F189="","",DATAPENDUDUK!F189)</f>
        <v/>
      </c>
      <c r="F189" s="11" t="str">
        <f>IF(DATAPENDUDUK!H189="","",DATAPENDUDUK!H189)</f>
        <v/>
      </c>
      <c r="G189" s="10" t="str">
        <f t="shared" ca="1" si="4"/>
        <v/>
      </c>
      <c r="H189" t="str">
        <f t="shared" ca="1" si="5"/>
        <v/>
      </c>
    </row>
    <row r="190" spans="1:8" x14ac:dyDescent="0.25">
      <c r="A190" s="10" t="str">
        <f>IF(DATAPENDUDUK!A190="","",DATAPENDUDUK!A190)</f>
        <v/>
      </c>
      <c r="B190" s="13" t="str">
        <f>IF(DATAPENDUDUK!B190="","",DATAPENDUDUK!B190)</f>
        <v/>
      </c>
      <c r="C190" s="10" t="str">
        <f>IF(DATAPENDUDUK!C190="","",DATAPENDUDUK!C190)</f>
        <v/>
      </c>
      <c r="D190" s="10" t="str">
        <f>IF(DATAPENDUDUK!E190="","",DATAPENDUDUK!E190)</f>
        <v/>
      </c>
      <c r="E190" s="10" t="str">
        <f>IF(DATAPENDUDUK!F190="","",DATAPENDUDUK!F190)</f>
        <v/>
      </c>
      <c r="F190" s="11" t="str">
        <f>IF(DATAPENDUDUK!H190="","",DATAPENDUDUK!H190)</f>
        <v/>
      </c>
      <c r="G190" s="10" t="str">
        <f t="shared" ca="1" si="4"/>
        <v/>
      </c>
      <c r="H190" t="str">
        <f t="shared" ca="1" si="5"/>
        <v/>
      </c>
    </row>
    <row r="191" spans="1:8" x14ac:dyDescent="0.25">
      <c r="A191" s="10" t="str">
        <f>IF(DATAPENDUDUK!A191="","",DATAPENDUDUK!A191)</f>
        <v/>
      </c>
      <c r="B191" s="13" t="str">
        <f>IF(DATAPENDUDUK!B191="","",DATAPENDUDUK!B191)</f>
        <v/>
      </c>
      <c r="C191" s="10" t="str">
        <f>IF(DATAPENDUDUK!C191="","",DATAPENDUDUK!C191)</f>
        <v/>
      </c>
      <c r="D191" s="10" t="str">
        <f>IF(DATAPENDUDUK!E191="","",DATAPENDUDUK!E191)</f>
        <v/>
      </c>
      <c r="E191" s="10" t="str">
        <f>IF(DATAPENDUDUK!F191="","",DATAPENDUDUK!F191)</f>
        <v/>
      </c>
      <c r="F191" s="11" t="str">
        <f>IF(DATAPENDUDUK!H191="","",DATAPENDUDUK!H191)</f>
        <v/>
      </c>
      <c r="G191" s="10" t="str">
        <f t="shared" ca="1" si="4"/>
        <v/>
      </c>
      <c r="H191" t="str">
        <f t="shared" ca="1" si="5"/>
        <v/>
      </c>
    </row>
    <row r="192" spans="1:8" x14ac:dyDescent="0.25">
      <c r="A192" s="10" t="str">
        <f>IF(DATAPENDUDUK!A192="","",DATAPENDUDUK!A192)</f>
        <v/>
      </c>
      <c r="B192" s="13" t="str">
        <f>IF(DATAPENDUDUK!B192="","",DATAPENDUDUK!B192)</f>
        <v/>
      </c>
      <c r="C192" s="10" t="str">
        <f>IF(DATAPENDUDUK!C192="","",DATAPENDUDUK!C192)</f>
        <v/>
      </c>
      <c r="D192" s="10" t="str">
        <f>IF(DATAPENDUDUK!E192="","",DATAPENDUDUK!E192)</f>
        <v/>
      </c>
      <c r="E192" s="10" t="str">
        <f>IF(DATAPENDUDUK!F192="","",DATAPENDUDUK!F192)</f>
        <v/>
      </c>
      <c r="F192" s="11" t="str">
        <f>IF(DATAPENDUDUK!H192="","",DATAPENDUDUK!H192)</f>
        <v/>
      </c>
      <c r="G192" s="10" t="str">
        <f t="shared" ca="1" si="4"/>
        <v/>
      </c>
      <c r="H192" t="str">
        <f t="shared" ca="1" si="5"/>
        <v/>
      </c>
    </row>
    <row r="193" spans="1:8" x14ac:dyDescent="0.25">
      <c r="A193" s="10" t="str">
        <f>IF(DATAPENDUDUK!A193="","",DATAPENDUDUK!A193)</f>
        <v/>
      </c>
      <c r="B193" s="13" t="str">
        <f>IF(DATAPENDUDUK!B193="","",DATAPENDUDUK!B193)</f>
        <v/>
      </c>
      <c r="C193" s="10" t="str">
        <f>IF(DATAPENDUDUK!C193="","",DATAPENDUDUK!C193)</f>
        <v/>
      </c>
      <c r="D193" s="10" t="str">
        <f>IF(DATAPENDUDUK!E193="","",DATAPENDUDUK!E193)</f>
        <v/>
      </c>
      <c r="E193" s="10" t="str">
        <f>IF(DATAPENDUDUK!F193="","",DATAPENDUDUK!F193)</f>
        <v/>
      </c>
      <c r="F193" s="11" t="str">
        <f>IF(DATAPENDUDUK!H193="","",DATAPENDUDUK!H193)</f>
        <v/>
      </c>
      <c r="G193" s="10" t="str">
        <f t="shared" ca="1" si="4"/>
        <v/>
      </c>
      <c r="H193" t="str">
        <f t="shared" ca="1" si="5"/>
        <v/>
      </c>
    </row>
    <row r="194" spans="1:8" x14ac:dyDescent="0.25">
      <c r="A194" s="10" t="str">
        <f>IF(DATAPENDUDUK!A194="","",DATAPENDUDUK!A194)</f>
        <v/>
      </c>
      <c r="B194" s="13" t="str">
        <f>IF(DATAPENDUDUK!B194="","",DATAPENDUDUK!B194)</f>
        <v/>
      </c>
      <c r="C194" s="10" t="str">
        <f>IF(DATAPENDUDUK!C194="","",DATAPENDUDUK!C194)</f>
        <v/>
      </c>
      <c r="D194" s="10" t="str">
        <f>IF(DATAPENDUDUK!E194="","",DATAPENDUDUK!E194)</f>
        <v/>
      </c>
      <c r="E194" s="10" t="str">
        <f>IF(DATAPENDUDUK!F194="","",DATAPENDUDUK!F194)</f>
        <v/>
      </c>
      <c r="F194" s="11" t="str">
        <f>IF(DATAPENDUDUK!H194="","",DATAPENDUDUK!H194)</f>
        <v/>
      </c>
      <c r="G194" s="10" t="str">
        <f t="shared" ca="1" si="4"/>
        <v/>
      </c>
      <c r="H194" t="str">
        <f t="shared" ca="1" si="5"/>
        <v/>
      </c>
    </row>
    <row r="195" spans="1:8" x14ac:dyDescent="0.25">
      <c r="A195" s="10" t="str">
        <f>IF(DATAPENDUDUK!A195="","",DATAPENDUDUK!A195)</f>
        <v/>
      </c>
      <c r="B195" s="13" t="str">
        <f>IF(DATAPENDUDUK!B195="","",DATAPENDUDUK!B195)</f>
        <v/>
      </c>
      <c r="C195" s="10" t="str">
        <f>IF(DATAPENDUDUK!C195="","",DATAPENDUDUK!C195)</f>
        <v/>
      </c>
      <c r="D195" s="10" t="str">
        <f>IF(DATAPENDUDUK!E195="","",DATAPENDUDUK!E195)</f>
        <v/>
      </c>
      <c r="E195" s="10" t="str">
        <f>IF(DATAPENDUDUK!F195="","",DATAPENDUDUK!F195)</f>
        <v/>
      </c>
      <c r="F195" s="11" t="str">
        <f>IF(DATAPENDUDUK!H195="","",DATAPENDUDUK!H195)</f>
        <v/>
      </c>
      <c r="G195" s="10" t="str">
        <f t="shared" ca="1" si="4"/>
        <v/>
      </c>
      <c r="H195" t="str">
        <f t="shared" ca="1" si="5"/>
        <v/>
      </c>
    </row>
    <row r="196" spans="1:8" x14ac:dyDescent="0.25">
      <c r="A196" s="10" t="str">
        <f>IF(DATAPENDUDUK!A196="","",DATAPENDUDUK!A196)</f>
        <v/>
      </c>
      <c r="B196" s="13" t="str">
        <f>IF(DATAPENDUDUK!B196="","",DATAPENDUDUK!B196)</f>
        <v/>
      </c>
      <c r="C196" s="10" t="str">
        <f>IF(DATAPENDUDUK!C196="","",DATAPENDUDUK!C196)</f>
        <v/>
      </c>
      <c r="D196" s="10" t="str">
        <f>IF(DATAPENDUDUK!E196="","",DATAPENDUDUK!E196)</f>
        <v/>
      </c>
      <c r="E196" s="10" t="str">
        <f>IF(DATAPENDUDUK!F196="","",DATAPENDUDUK!F196)</f>
        <v/>
      </c>
      <c r="F196" s="11" t="str">
        <f>IF(DATAPENDUDUK!H196="","",DATAPENDUDUK!H196)</f>
        <v/>
      </c>
      <c r="G196" s="10" t="str">
        <f t="shared" ca="1" si="4"/>
        <v/>
      </c>
      <c r="H196" t="str">
        <f t="shared" ca="1" si="5"/>
        <v/>
      </c>
    </row>
    <row r="197" spans="1:8" x14ac:dyDescent="0.25">
      <c r="A197" s="10" t="str">
        <f>IF(DATAPENDUDUK!A197="","",DATAPENDUDUK!A197)</f>
        <v/>
      </c>
      <c r="B197" s="13" t="str">
        <f>IF(DATAPENDUDUK!B197="","",DATAPENDUDUK!B197)</f>
        <v/>
      </c>
      <c r="C197" s="10" t="str">
        <f>IF(DATAPENDUDUK!C197="","",DATAPENDUDUK!C197)</f>
        <v/>
      </c>
      <c r="D197" s="10" t="str">
        <f>IF(DATAPENDUDUK!E197="","",DATAPENDUDUK!E197)</f>
        <v/>
      </c>
      <c r="E197" s="10" t="str">
        <f>IF(DATAPENDUDUK!F197="","",DATAPENDUDUK!F197)</f>
        <v/>
      </c>
      <c r="F197" s="11" t="str">
        <f>IF(DATAPENDUDUK!H197="","",DATAPENDUDUK!H197)</f>
        <v/>
      </c>
      <c r="G197" s="10" t="str">
        <f t="shared" ca="1" si="4"/>
        <v/>
      </c>
      <c r="H197" t="str">
        <f t="shared" ca="1" si="5"/>
        <v/>
      </c>
    </row>
    <row r="198" spans="1:8" x14ac:dyDescent="0.25">
      <c r="A198" s="10" t="str">
        <f>IF(DATAPENDUDUK!A198="","",DATAPENDUDUK!A198)</f>
        <v/>
      </c>
      <c r="B198" s="13" t="str">
        <f>IF(DATAPENDUDUK!B198="","",DATAPENDUDUK!B198)</f>
        <v/>
      </c>
      <c r="C198" s="10" t="str">
        <f>IF(DATAPENDUDUK!C198="","",DATAPENDUDUK!C198)</f>
        <v/>
      </c>
      <c r="D198" s="10" t="str">
        <f>IF(DATAPENDUDUK!E198="","",DATAPENDUDUK!E198)</f>
        <v/>
      </c>
      <c r="E198" s="10" t="str">
        <f>IF(DATAPENDUDUK!F198="","",DATAPENDUDUK!F198)</f>
        <v/>
      </c>
      <c r="F198" s="11" t="str">
        <f>IF(DATAPENDUDUK!H198="","",DATAPENDUDUK!H198)</f>
        <v/>
      </c>
      <c r="G198" s="10" t="str">
        <f t="shared" ref="G198:G261" ca="1" si="6">IFERROR(DATEDIF(F198,TODAY(),"Y"),"")</f>
        <v/>
      </c>
      <c r="H198" t="str">
        <f t="shared" ref="H198:H261" ca="1" si="7">IF(G198="","",IF(G198&lt;=1,"Bayi",IF(G198&lt;=10,"Anak-Anak",IF(G198&lt;=19,"Remaja",IF(G198&lt;=60,"Dewasa",IF(G198&gt;60,"Lanjut Usia"))))))</f>
        <v/>
      </c>
    </row>
    <row r="199" spans="1:8" x14ac:dyDescent="0.25">
      <c r="A199" s="10" t="str">
        <f>IF(DATAPENDUDUK!A199="","",DATAPENDUDUK!A199)</f>
        <v/>
      </c>
      <c r="B199" s="13" t="str">
        <f>IF(DATAPENDUDUK!B199="","",DATAPENDUDUK!B199)</f>
        <v/>
      </c>
      <c r="C199" s="10" t="str">
        <f>IF(DATAPENDUDUK!C199="","",DATAPENDUDUK!C199)</f>
        <v/>
      </c>
      <c r="D199" s="10" t="str">
        <f>IF(DATAPENDUDUK!E199="","",DATAPENDUDUK!E199)</f>
        <v/>
      </c>
      <c r="E199" s="10" t="str">
        <f>IF(DATAPENDUDUK!F199="","",DATAPENDUDUK!F199)</f>
        <v/>
      </c>
      <c r="F199" s="11" t="str">
        <f>IF(DATAPENDUDUK!H199="","",DATAPENDUDUK!H199)</f>
        <v/>
      </c>
      <c r="G199" s="10" t="str">
        <f t="shared" ca="1" si="6"/>
        <v/>
      </c>
      <c r="H199" t="str">
        <f t="shared" ca="1" si="7"/>
        <v/>
      </c>
    </row>
    <row r="200" spans="1:8" x14ac:dyDescent="0.25">
      <c r="A200" s="10" t="str">
        <f>IF(DATAPENDUDUK!A200="","",DATAPENDUDUK!A200)</f>
        <v/>
      </c>
      <c r="B200" s="13" t="str">
        <f>IF(DATAPENDUDUK!B200="","",DATAPENDUDUK!B200)</f>
        <v/>
      </c>
      <c r="C200" s="10" t="str">
        <f>IF(DATAPENDUDUK!C200="","",DATAPENDUDUK!C200)</f>
        <v/>
      </c>
      <c r="D200" s="10" t="str">
        <f>IF(DATAPENDUDUK!E200="","",DATAPENDUDUK!E200)</f>
        <v/>
      </c>
      <c r="E200" s="10" t="str">
        <f>IF(DATAPENDUDUK!F200="","",DATAPENDUDUK!F200)</f>
        <v/>
      </c>
      <c r="F200" s="11" t="str">
        <f>IF(DATAPENDUDUK!H200="","",DATAPENDUDUK!H200)</f>
        <v/>
      </c>
      <c r="G200" s="10" t="str">
        <f t="shared" ca="1" si="6"/>
        <v/>
      </c>
      <c r="H200" t="str">
        <f t="shared" ca="1" si="7"/>
        <v/>
      </c>
    </row>
    <row r="201" spans="1:8" x14ac:dyDescent="0.25">
      <c r="A201" s="10" t="str">
        <f>IF(DATAPENDUDUK!A201="","",DATAPENDUDUK!A201)</f>
        <v/>
      </c>
      <c r="B201" s="13" t="str">
        <f>IF(DATAPENDUDUK!B201="","",DATAPENDUDUK!B201)</f>
        <v/>
      </c>
      <c r="C201" s="10" t="str">
        <f>IF(DATAPENDUDUK!C201="","",DATAPENDUDUK!C201)</f>
        <v/>
      </c>
      <c r="D201" s="10" t="str">
        <f>IF(DATAPENDUDUK!E201="","",DATAPENDUDUK!E201)</f>
        <v/>
      </c>
      <c r="E201" s="10" t="str">
        <f>IF(DATAPENDUDUK!F201="","",DATAPENDUDUK!F201)</f>
        <v/>
      </c>
      <c r="F201" s="11" t="str">
        <f>IF(DATAPENDUDUK!H201="","",DATAPENDUDUK!H201)</f>
        <v/>
      </c>
      <c r="G201" s="10" t="str">
        <f t="shared" ca="1" si="6"/>
        <v/>
      </c>
      <c r="H201" t="str">
        <f t="shared" ca="1" si="7"/>
        <v/>
      </c>
    </row>
    <row r="202" spans="1:8" x14ac:dyDescent="0.25">
      <c r="A202" s="10" t="str">
        <f>IF(DATAPENDUDUK!A202="","",DATAPENDUDUK!A202)</f>
        <v/>
      </c>
      <c r="B202" s="13" t="str">
        <f>IF(DATAPENDUDUK!B202="","",DATAPENDUDUK!B202)</f>
        <v/>
      </c>
      <c r="C202" s="10" t="str">
        <f>IF(DATAPENDUDUK!C202="","",DATAPENDUDUK!C202)</f>
        <v/>
      </c>
      <c r="D202" s="10" t="str">
        <f>IF(DATAPENDUDUK!E202="","",DATAPENDUDUK!E202)</f>
        <v/>
      </c>
      <c r="E202" s="10" t="str">
        <f>IF(DATAPENDUDUK!F202="","",DATAPENDUDUK!F202)</f>
        <v/>
      </c>
      <c r="F202" s="11" t="str">
        <f>IF(DATAPENDUDUK!H202="","",DATAPENDUDUK!H202)</f>
        <v/>
      </c>
      <c r="G202" s="10" t="str">
        <f t="shared" ca="1" si="6"/>
        <v/>
      </c>
      <c r="H202" t="str">
        <f t="shared" ca="1" si="7"/>
        <v/>
      </c>
    </row>
    <row r="203" spans="1:8" x14ac:dyDescent="0.25">
      <c r="A203" s="10" t="str">
        <f>IF(DATAPENDUDUK!A203="","",DATAPENDUDUK!A203)</f>
        <v/>
      </c>
      <c r="B203" s="13" t="str">
        <f>IF(DATAPENDUDUK!B203="","",DATAPENDUDUK!B203)</f>
        <v/>
      </c>
      <c r="C203" s="10" t="str">
        <f>IF(DATAPENDUDUK!C203="","",DATAPENDUDUK!C203)</f>
        <v/>
      </c>
      <c r="D203" s="10" t="str">
        <f>IF(DATAPENDUDUK!E203="","",DATAPENDUDUK!E203)</f>
        <v/>
      </c>
      <c r="E203" s="10" t="str">
        <f>IF(DATAPENDUDUK!F203="","",DATAPENDUDUK!F203)</f>
        <v/>
      </c>
      <c r="F203" s="11" t="str">
        <f>IF(DATAPENDUDUK!H203="","",DATAPENDUDUK!H203)</f>
        <v/>
      </c>
      <c r="G203" s="10" t="str">
        <f t="shared" ca="1" si="6"/>
        <v/>
      </c>
      <c r="H203" t="str">
        <f t="shared" ca="1" si="7"/>
        <v/>
      </c>
    </row>
    <row r="204" spans="1:8" x14ac:dyDescent="0.25">
      <c r="A204" s="10" t="str">
        <f>IF(DATAPENDUDUK!A204="","",DATAPENDUDUK!A204)</f>
        <v/>
      </c>
      <c r="B204" s="13" t="str">
        <f>IF(DATAPENDUDUK!B204="","",DATAPENDUDUK!B204)</f>
        <v/>
      </c>
      <c r="C204" s="10" t="str">
        <f>IF(DATAPENDUDUK!C204="","",DATAPENDUDUK!C204)</f>
        <v/>
      </c>
      <c r="D204" s="10" t="str">
        <f>IF(DATAPENDUDUK!E204="","",DATAPENDUDUK!E204)</f>
        <v/>
      </c>
      <c r="E204" s="10" t="str">
        <f>IF(DATAPENDUDUK!F204="","",DATAPENDUDUK!F204)</f>
        <v/>
      </c>
      <c r="F204" s="11" t="str">
        <f>IF(DATAPENDUDUK!H204="","",DATAPENDUDUK!H204)</f>
        <v/>
      </c>
      <c r="G204" s="10" t="str">
        <f t="shared" ca="1" si="6"/>
        <v/>
      </c>
      <c r="H204" t="str">
        <f t="shared" ca="1" si="7"/>
        <v/>
      </c>
    </row>
    <row r="205" spans="1:8" x14ac:dyDescent="0.25">
      <c r="A205" s="10" t="str">
        <f>IF(DATAPENDUDUK!A205="","",DATAPENDUDUK!A205)</f>
        <v/>
      </c>
      <c r="B205" s="13" t="str">
        <f>IF(DATAPENDUDUK!B205="","",DATAPENDUDUK!B205)</f>
        <v/>
      </c>
      <c r="C205" s="10" t="str">
        <f>IF(DATAPENDUDUK!C205="","",DATAPENDUDUK!C205)</f>
        <v/>
      </c>
      <c r="D205" s="10" t="str">
        <f>IF(DATAPENDUDUK!E205="","",DATAPENDUDUK!E205)</f>
        <v/>
      </c>
      <c r="E205" s="10" t="str">
        <f>IF(DATAPENDUDUK!F205="","",DATAPENDUDUK!F205)</f>
        <v/>
      </c>
      <c r="F205" s="11" t="str">
        <f>IF(DATAPENDUDUK!H205="","",DATAPENDUDUK!H205)</f>
        <v/>
      </c>
      <c r="G205" s="10" t="str">
        <f t="shared" ca="1" si="6"/>
        <v/>
      </c>
      <c r="H205" t="str">
        <f t="shared" ca="1" si="7"/>
        <v/>
      </c>
    </row>
    <row r="206" spans="1:8" x14ac:dyDescent="0.25">
      <c r="A206" s="10" t="str">
        <f>IF(DATAPENDUDUK!A206="","",DATAPENDUDUK!A206)</f>
        <v/>
      </c>
      <c r="B206" s="13" t="str">
        <f>IF(DATAPENDUDUK!B206="","",DATAPENDUDUK!B206)</f>
        <v/>
      </c>
      <c r="C206" s="10" t="str">
        <f>IF(DATAPENDUDUK!C206="","",DATAPENDUDUK!C206)</f>
        <v/>
      </c>
      <c r="D206" s="10" t="str">
        <f>IF(DATAPENDUDUK!E206="","",DATAPENDUDUK!E206)</f>
        <v/>
      </c>
      <c r="E206" s="10" t="str">
        <f>IF(DATAPENDUDUK!F206="","",DATAPENDUDUK!F206)</f>
        <v/>
      </c>
      <c r="F206" s="11" t="str">
        <f>IF(DATAPENDUDUK!H206="","",DATAPENDUDUK!H206)</f>
        <v/>
      </c>
      <c r="G206" s="10" t="str">
        <f t="shared" ca="1" si="6"/>
        <v/>
      </c>
      <c r="H206" t="str">
        <f t="shared" ca="1" si="7"/>
        <v/>
      </c>
    </row>
    <row r="207" spans="1:8" x14ac:dyDescent="0.25">
      <c r="A207" s="10" t="str">
        <f>IF(DATAPENDUDUK!A207="","",DATAPENDUDUK!A207)</f>
        <v/>
      </c>
      <c r="B207" s="13" t="str">
        <f>IF(DATAPENDUDUK!B207="","",DATAPENDUDUK!B207)</f>
        <v/>
      </c>
      <c r="C207" s="10" t="str">
        <f>IF(DATAPENDUDUK!C207="","",DATAPENDUDUK!C207)</f>
        <v/>
      </c>
      <c r="D207" s="10" t="str">
        <f>IF(DATAPENDUDUK!E207="","",DATAPENDUDUK!E207)</f>
        <v/>
      </c>
      <c r="E207" s="10" t="str">
        <f>IF(DATAPENDUDUK!F207="","",DATAPENDUDUK!F207)</f>
        <v/>
      </c>
      <c r="F207" s="11" t="str">
        <f>IF(DATAPENDUDUK!H207="","",DATAPENDUDUK!H207)</f>
        <v/>
      </c>
      <c r="G207" s="10" t="str">
        <f t="shared" ca="1" si="6"/>
        <v/>
      </c>
      <c r="H207" t="str">
        <f t="shared" ca="1" si="7"/>
        <v/>
      </c>
    </row>
    <row r="208" spans="1:8" x14ac:dyDescent="0.25">
      <c r="A208" s="10" t="str">
        <f>IF(DATAPENDUDUK!A208="","",DATAPENDUDUK!A208)</f>
        <v/>
      </c>
      <c r="B208" s="13" t="str">
        <f>IF(DATAPENDUDUK!B208="","",DATAPENDUDUK!B208)</f>
        <v/>
      </c>
      <c r="C208" s="10" t="str">
        <f>IF(DATAPENDUDUK!C208="","",DATAPENDUDUK!C208)</f>
        <v/>
      </c>
      <c r="D208" s="10" t="str">
        <f>IF(DATAPENDUDUK!E208="","",DATAPENDUDUK!E208)</f>
        <v/>
      </c>
      <c r="E208" s="10" t="str">
        <f>IF(DATAPENDUDUK!F208="","",DATAPENDUDUK!F208)</f>
        <v/>
      </c>
      <c r="F208" s="11" t="str">
        <f>IF(DATAPENDUDUK!H208="","",DATAPENDUDUK!H208)</f>
        <v/>
      </c>
      <c r="G208" s="10" t="str">
        <f t="shared" ca="1" si="6"/>
        <v/>
      </c>
      <c r="H208" t="str">
        <f t="shared" ca="1" si="7"/>
        <v/>
      </c>
    </row>
    <row r="209" spans="1:8" x14ac:dyDescent="0.25">
      <c r="A209" s="10" t="str">
        <f>IF(DATAPENDUDUK!A209="","",DATAPENDUDUK!A209)</f>
        <v/>
      </c>
      <c r="B209" s="13" t="str">
        <f>IF(DATAPENDUDUK!B209="","",DATAPENDUDUK!B209)</f>
        <v/>
      </c>
      <c r="C209" s="10" t="str">
        <f>IF(DATAPENDUDUK!C209="","",DATAPENDUDUK!C209)</f>
        <v/>
      </c>
      <c r="D209" s="10" t="str">
        <f>IF(DATAPENDUDUK!E209="","",DATAPENDUDUK!E209)</f>
        <v/>
      </c>
      <c r="E209" s="10" t="str">
        <f>IF(DATAPENDUDUK!F209="","",DATAPENDUDUK!F209)</f>
        <v/>
      </c>
      <c r="F209" s="11" t="str">
        <f>IF(DATAPENDUDUK!H209="","",DATAPENDUDUK!H209)</f>
        <v/>
      </c>
      <c r="G209" s="10" t="str">
        <f t="shared" ca="1" si="6"/>
        <v/>
      </c>
      <c r="H209" t="str">
        <f t="shared" ca="1" si="7"/>
        <v/>
      </c>
    </row>
    <row r="210" spans="1:8" x14ac:dyDescent="0.25">
      <c r="A210" s="10" t="str">
        <f>IF(DATAPENDUDUK!A210="","",DATAPENDUDUK!A210)</f>
        <v/>
      </c>
      <c r="B210" s="13" t="str">
        <f>IF(DATAPENDUDUK!B210="","",DATAPENDUDUK!B210)</f>
        <v/>
      </c>
      <c r="C210" s="10" t="str">
        <f>IF(DATAPENDUDUK!C210="","",DATAPENDUDUK!C210)</f>
        <v/>
      </c>
      <c r="D210" s="10" t="str">
        <f>IF(DATAPENDUDUK!E210="","",DATAPENDUDUK!E210)</f>
        <v/>
      </c>
      <c r="E210" s="10" t="str">
        <f>IF(DATAPENDUDUK!F210="","",DATAPENDUDUK!F210)</f>
        <v/>
      </c>
      <c r="F210" s="11" t="str">
        <f>IF(DATAPENDUDUK!H210="","",DATAPENDUDUK!H210)</f>
        <v/>
      </c>
      <c r="G210" s="10" t="str">
        <f t="shared" ca="1" si="6"/>
        <v/>
      </c>
      <c r="H210" t="str">
        <f t="shared" ca="1" si="7"/>
        <v/>
      </c>
    </row>
    <row r="211" spans="1:8" x14ac:dyDescent="0.25">
      <c r="A211" s="10" t="str">
        <f>IF(DATAPENDUDUK!A211="","",DATAPENDUDUK!A211)</f>
        <v/>
      </c>
      <c r="B211" s="13" t="str">
        <f>IF(DATAPENDUDUK!B211="","",DATAPENDUDUK!B211)</f>
        <v/>
      </c>
      <c r="C211" s="10" t="str">
        <f>IF(DATAPENDUDUK!C211="","",DATAPENDUDUK!C211)</f>
        <v/>
      </c>
      <c r="D211" s="10" t="str">
        <f>IF(DATAPENDUDUK!E211="","",DATAPENDUDUK!E211)</f>
        <v/>
      </c>
      <c r="E211" s="10" t="str">
        <f>IF(DATAPENDUDUK!F211="","",DATAPENDUDUK!F211)</f>
        <v/>
      </c>
      <c r="F211" s="11" t="str">
        <f>IF(DATAPENDUDUK!H211="","",DATAPENDUDUK!H211)</f>
        <v/>
      </c>
      <c r="G211" s="10" t="str">
        <f t="shared" ca="1" si="6"/>
        <v/>
      </c>
      <c r="H211" t="str">
        <f t="shared" ca="1" si="7"/>
        <v/>
      </c>
    </row>
    <row r="212" spans="1:8" x14ac:dyDescent="0.25">
      <c r="A212" s="10" t="str">
        <f>IF(DATAPENDUDUK!A212="","",DATAPENDUDUK!A212)</f>
        <v/>
      </c>
      <c r="B212" s="13" t="str">
        <f>IF(DATAPENDUDUK!B212="","",DATAPENDUDUK!B212)</f>
        <v/>
      </c>
      <c r="C212" s="10" t="str">
        <f>IF(DATAPENDUDUK!C212="","",DATAPENDUDUK!C212)</f>
        <v/>
      </c>
      <c r="D212" s="10" t="str">
        <f>IF(DATAPENDUDUK!E212="","",DATAPENDUDUK!E212)</f>
        <v/>
      </c>
      <c r="E212" s="10" t="str">
        <f>IF(DATAPENDUDUK!F212="","",DATAPENDUDUK!F212)</f>
        <v/>
      </c>
      <c r="F212" s="11" t="str">
        <f>IF(DATAPENDUDUK!H212="","",DATAPENDUDUK!H212)</f>
        <v/>
      </c>
      <c r="G212" s="10" t="str">
        <f t="shared" ca="1" si="6"/>
        <v/>
      </c>
      <c r="H212" t="str">
        <f t="shared" ca="1" si="7"/>
        <v/>
      </c>
    </row>
    <row r="213" spans="1:8" x14ac:dyDescent="0.25">
      <c r="A213" s="10" t="str">
        <f>IF(DATAPENDUDUK!A213="","",DATAPENDUDUK!A213)</f>
        <v/>
      </c>
      <c r="B213" s="13" t="str">
        <f>IF(DATAPENDUDUK!B213="","",DATAPENDUDUK!B213)</f>
        <v/>
      </c>
      <c r="C213" s="10" t="str">
        <f>IF(DATAPENDUDUK!C213="","",DATAPENDUDUK!C213)</f>
        <v/>
      </c>
      <c r="D213" s="10" t="str">
        <f>IF(DATAPENDUDUK!E213="","",DATAPENDUDUK!E213)</f>
        <v/>
      </c>
      <c r="E213" s="10" t="str">
        <f>IF(DATAPENDUDUK!F213="","",DATAPENDUDUK!F213)</f>
        <v/>
      </c>
      <c r="F213" s="11" t="str">
        <f>IF(DATAPENDUDUK!H213="","",DATAPENDUDUK!H213)</f>
        <v/>
      </c>
      <c r="G213" s="10" t="str">
        <f t="shared" ca="1" si="6"/>
        <v/>
      </c>
      <c r="H213" t="str">
        <f t="shared" ca="1" si="7"/>
        <v/>
      </c>
    </row>
    <row r="214" spans="1:8" x14ac:dyDescent="0.25">
      <c r="A214" s="10" t="str">
        <f>IF(DATAPENDUDUK!A214="","",DATAPENDUDUK!A214)</f>
        <v/>
      </c>
      <c r="B214" s="13" t="str">
        <f>IF(DATAPENDUDUK!B214="","",DATAPENDUDUK!B214)</f>
        <v/>
      </c>
      <c r="C214" s="10" t="str">
        <f>IF(DATAPENDUDUK!C214="","",DATAPENDUDUK!C214)</f>
        <v/>
      </c>
      <c r="D214" s="10" t="str">
        <f>IF(DATAPENDUDUK!E214="","",DATAPENDUDUK!E214)</f>
        <v/>
      </c>
      <c r="E214" s="10" t="str">
        <f>IF(DATAPENDUDUK!F214="","",DATAPENDUDUK!F214)</f>
        <v/>
      </c>
      <c r="F214" s="11" t="str">
        <f>IF(DATAPENDUDUK!H214="","",DATAPENDUDUK!H214)</f>
        <v/>
      </c>
      <c r="G214" s="10" t="str">
        <f t="shared" ca="1" si="6"/>
        <v/>
      </c>
      <c r="H214" t="str">
        <f t="shared" ca="1" si="7"/>
        <v/>
      </c>
    </row>
    <row r="215" spans="1:8" x14ac:dyDescent="0.25">
      <c r="A215" s="10" t="str">
        <f>IF(DATAPENDUDUK!A215="","",DATAPENDUDUK!A215)</f>
        <v/>
      </c>
      <c r="B215" s="13" t="str">
        <f>IF(DATAPENDUDUK!B215="","",DATAPENDUDUK!B215)</f>
        <v/>
      </c>
      <c r="C215" s="10" t="str">
        <f>IF(DATAPENDUDUK!C215="","",DATAPENDUDUK!C215)</f>
        <v/>
      </c>
      <c r="D215" s="10" t="str">
        <f>IF(DATAPENDUDUK!E215="","",DATAPENDUDUK!E215)</f>
        <v/>
      </c>
      <c r="E215" s="10" t="str">
        <f>IF(DATAPENDUDUK!F215="","",DATAPENDUDUK!F215)</f>
        <v/>
      </c>
      <c r="F215" s="11" t="str">
        <f>IF(DATAPENDUDUK!H215="","",DATAPENDUDUK!H215)</f>
        <v/>
      </c>
      <c r="G215" s="10" t="str">
        <f t="shared" ca="1" si="6"/>
        <v/>
      </c>
      <c r="H215" t="str">
        <f t="shared" ca="1" si="7"/>
        <v/>
      </c>
    </row>
    <row r="216" spans="1:8" x14ac:dyDescent="0.25">
      <c r="A216" s="10" t="str">
        <f>IF(DATAPENDUDUK!A216="","",DATAPENDUDUK!A216)</f>
        <v/>
      </c>
      <c r="B216" s="13" t="str">
        <f>IF(DATAPENDUDUK!B216="","",DATAPENDUDUK!B216)</f>
        <v/>
      </c>
      <c r="C216" s="10" t="str">
        <f>IF(DATAPENDUDUK!C216="","",DATAPENDUDUK!C216)</f>
        <v/>
      </c>
      <c r="D216" s="10" t="str">
        <f>IF(DATAPENDUDUK!E216="","",DATAPENDUDUK!E216)</f>
        <v/>
      </c>
      <c r="E216" s="10" t="str">
        <f>IF(DATAPENDUDUK!F216="","",DATAPENDUDUK!F216)</f>
        <v/>
      </c>
      <c r="F216" s="11" t="str">
        <f>IF(DATAPENDUDUK!H216="","",DATAPENDUDUK!H216)</f>
        <v/>
      </c>
      <c r="G216" s="10" t="str">
        <f t="shared" ca="1" si="6"/>
        <v/>
      </c>
      <c r="H216" t="str">
        <f t="shared" ca="1" si="7"/>
        <v/>
      </c>
    </row>
    <row r="217" spans="1:8" x14ac:dyDescent="0.25">
      <c r="A217" s="10" t="str">
        <f>IF(DATAPENDUDUK!A217="","",DATAPENDUDUK!A217)</f>
        <v/>
      </c>
      <c r="B217" s="13" t="str">
        <f>IF(DATAPENDUDUK!B217="","",DATAPENDUDUK!B217)</f>
        <v/>
      </c>
      <c r="C217" s="10" t="str">
        <f>IF(DATAPENDUDUK!C217="","",DATAPENDUDUK!C217)</f>
        <v/>
      </c>
      <c r="D217" s="10" t="str">
        <f>IF(DATAPENDUDUK!E217="","",DATAPENDUDUK!E217)</f>
        <v/>
      </c>
      <c r="E217" s="10" t="str">
        <f>IF(DATAPENDUDUK!F217="","",DATAPENDUDUK!F217)</f>
        <v/>
      </c>
      <c r="F217" s="11" t="str">
        <f>IF(DATAPENDUDUK!H217="","",DATAPENDUDUK!H217)</f>
        <v/>
      </c>
      <c r="G217" s="10" t="str">
        <f t="shared" ca="1" si="6"/>
        <v/>
      </c>
      <c r="H217" t="str">
        <f t="shared" ca="1" si="7"/>
        <v/>
      </c>
    </row>
    <row r="218" spans="1:8" x14ac:dyDescent="0.25">
      <c r="A218" s="10" t="str">
        <f>IF(DATAPENDUDUK!A218="","",DATAPENDUDUK!A218)</f>
        <v/>
      </c>
      <c r="B218" s="13" t="str">
        <f>IF(DATAPENDUDUK!B218="","",DATAPENDUDUK!B218)</f>
        <v/>
      </c>
      <c r="C218" s="10" t="str">
        <f>IF(DATAPENDUDUK!C218="","",DATAPENDUDUK!C218)</f>
        <v/>
      </c>
      <c r="D218" s="10" t="str">
        <f>IF(DATAPENDUDUK!E218="","",DATAPENDUDUK!E218)</f>
        <v/>
      </c>
      <c r="E218" s="10" t="str">
        <f>IF(DATAPENDUDUK!F218="","",DATAPENDUDUK!F218)</f>
        <v/>
      </c>
      <c r="F218" s="11" t="str">
        <f>IF(DATAPENDUDUK!H218="","",DATAPENDUDUK!H218)</f>
        <v/>
      </c>
      <c r="G218" s="10" t="str">
        <f t="shared" ca="1" si="6"/>
        <v/>
      </c>
      <c r="H218" t="str">
        <f t="shared" ca="1" si="7"/>
        <v/>
      </c>
    </row>
    <row r="219" spans="1:8" x14ac:dyDescent="0.25">
      <c r="A219" s="10" t="str">
        <f>IF(DATAPENDUDUK!A219="","",DATAPENDUDUK!A219)</f>
        <v/>
      </c>
      <c r="B219" s="13" t="str">
        <f>IF(DATAPENDUDUK!B219="","",DATAPENDUDUK!B219)</f>
        <v/>
      </c>
      <c r="C219" s="10" t="str">
        <f>IF(DATAPENDUDUK!C219="","",DATAPENDUDUK!C219)</f>
        <v/>
      </c>
      <c r="D219" s="10" t="str">
        <f>IF(DATAPENDUDUK!E219="","",DATAPENDUDUK!E219)</f>
        <v/>
      </c>
      <c r="E219" s="10" t="str">
        <f>IF(DATAPENDUDUK!F219="","",DATAPENDUDUK!F219)</f>
        <v/>
      </c>
      <c r="F219" s="11" t="str">
        <f>IF(DATAPENDUDUK!H219="","",DATAPENDUDUK!H219)</f>
        <v/>
      </c>
      <c r="G219" s="10" t="str">
        <f t="shared" ca="1" si="6"/>
        <v/>
      </c>
      <c r="H219" t="str">
        <f t="shared" ca="1" si="7"/>
        <v/>
      </c>
    </row>
    <row r="220" spans="1:8" x14ac:dyDescent="0.25">
      <c r="A220" s="10" t="str">
        <f>IF(DATAPENDUDUK!A220="","",DATAPENDUDUK!A220)</f>
        <v/>
      </c>
      <c r="B220" s="13" t="str">
        <f>IF(DATAPENDUDUK!B220="","",DATAPENDUDUK!B220)</f>
        <v/>
      </c>
      <c r="C220" s="10" t="str">
        <f>IF(DATAPENDUDUK!C220="","",DATAPENDUDUK!C220)</f>
        <v/>
      </c>
      <c r="D220" s="10" t="str">
        <f>IF(DATAPENDUDUK!E220="","",DATAPENDUDUK!E220)</f>
        <v/>
      </c>
      <c r="E220" s="10" t="str">
        <f>IF(DATAPENDUDUK!F220="","",DATAPENDUDUK!F220)</f>
        <v/>
      </c>
      <c r="F220" s="11" t="str">
        <f>IF(DATAPENDUDUK!H220="","",DATAPENDUDUK!H220)</f>
        <v/>
      </c>
      <c r="G220" s="10" t="str">
        <f t="shared" ca="1" si="6"/>
        <v/>
      </c>
      <c r="H220" t="str">
        <f t="shared" ca="1" si="7"/>
        <v/>
      </c>
    </row>
    <row r="221" spans="1:8" x14ac:dyDescent="0.25">
      <c r="A221" s="10" t="str">
        <f>IF(DATAPENDUDUK!A221="","",DATAPENDUDUK!A221)</f>
        <v/>
      </c>
      <c r="B221" s="13" t="str">
        <f>IF(DATAPENDUDUK!B221="","",DATAPENDUDUK!B221)</f>
        <v/>
      </c>
      <c r="C221" s="10" t="str">
        <f>IF(DATAPENDUDUK!C221="","",DATAPENDUDUK!C221)</f>
        <v/>
      </c>
      <c r="D221" s="10" t="str">
        <f>IF(DATAPENDUDUK!E221="","",DATAPENDUDUK!E221)</f>
        <v/>
      </c>
      <c r="E221" s="10" t="str">
        <f>IF(DATAPENDUDUK!F221="","",DATAPENDUDUK!F221)</f>
        <v/>
      </c>
      <c r="F221" s="11" t="str">
        <f>IF(DATAPENDUDUK!H221="","",DATAPENDUDUK!H221)</f>
        <v/>
      </c>
      <c r="G221" s="10" t="str">
        <f t="shared" ca="1" si="6"/>
        <v/>
      </c>
      <c r="H221" t="str">
        <f t="shared" ca="1" si="7"/>
        <v/>
      </c>
    </row>
    <row r="222" spans="1:8" x14ac:dyDescent="0.25">
      <c r="A222" s="10" t="str">
        <f>IF(DATAPENDUDUK!A222="","",DATAPENDUDUK!A222)</f>
        <v/>
      </c>
      <c r="B222" s="13" t="str">
        <f>IF(DATAPENDUDUK!B222="","",DATAPENDUDUK!B222)</f>
        <v/>
      </c>
      <c r="C222" s="10" t="str">
        <f>IF(DATAPENDUDUK!C222="","",DATAPENDUDUK!C222)</f>
        <v/>
      </c>
      <c r="D222" s="10" t="str">
        <f>IF(DATAPENDUDUK!E222="","",DATAPENDUDUK!E222)</f>
        <v/>
      </c>
      <c r="E222" s="10" t="str">
        <f>IF(DATAPENDUDUK!F222="","",DATAPENDUDUK!F222)</f>
        <v/>
      </c>
      <c r="F222" s="11" t="str">
        <f>IF(DATAPENDUDUK!H222="","",DATAPENDUDUK!H222)</f>
        <v/>
      </c>
      <c r="G222" s="10" t="str">
        <f t="shared" ca="1" si="6"/>
        <v/>
      </c>
      <c r="H222" t="str">
        <f t="shared" ca="1" si="7"/>
        <v/>
      </c>
    </row>
    <row r="223" spans="1:8" x14ac:dyDescent="0.25">
      <c r="A223" s="10" t="str">
        <f>IF(DATAPENDUDUK!A223="","",DATAPENDUDUK!A223)</f>
        <v/>
      </c>
      <c r="B223" s="13" t="str">
        <f>IF(DATAPENDUDUK!B223="","",DATAPENDUDUK!B223)</f>
        <v/>
      </c>
      <c r="C223" s="10" t="str">
        <f>IF(DATAPENDUDUK!C223="","",DATAPENDUDUK!C223)</f>
        <v/>
      </c>
      <c r="D223" s="10" t="str">
        <f>IF(DATAPENDUDUK!E223="","",DATAPENDUDUK!E223)</f>
        <v/>
      </c>
      <c r="E223" s="10" t="str">
        <f>IF(DATAPENDUDUK!F223="","",DATAPENDUDUK!F223)</f>
        <v/>
      </c>
      <c r="F223" s="11" t="str">
        <f>IF(DATAPENDUDUK!H223="","",DATAPENDUDUK!H223)</f>
        <v/>
      </c>
      <c r="G223" s="10" t="str">
        <f t="shared" ca="1" si="6"/>
        <v/>
      </c>
      <c r="H223" t="str">
        <f t="shared" ca="1" si="7"/>
        <v/>
      </c>
    </row>
    <row r="224" spans="1:8" x14ac:dyDescent="0.25">
      <c r="A224" s="10" t="str">
        <f>IF(DATAPENDUDUK!A224="","",DATAPENDUDUK!A224)</f>
        <v/>
      </c>
      <c r="B224" s="13" t="str">
        <f>IF(DATAPENDUDUK!B224="","",DATAPENDUDUK!B224)</f>
        <v/>
      </c>
      <c r="C224" s="10" t="str">
        <f>IF(DATAPENDUDUK!C224="","",DATAPENDUDUK!C224)</f>
        <v/>
      </c>
      <c r="D224" s="10" t="str">
        <f>IF(DATAPENDUDUK!E224="","",DATAPENDUDUK!E224)</f>
        <v/>
      </c>
      <c r="E224" s="10" t="str">
        <f>IF(DATAPENDUDUK!F224="","",DATAPENDUDUK!F224)</f>
        <v/>
      </c>
      <c r="F224" s="11" t="str">
        <f>IF(DATAPENDUDUK!H224="","",DATAPENDUDUK!H224)</f>
        <v/>
      </c>
      <c r="G224" s="10" t="str">
        <f t="shared" ca="1" si="6"/>
        <v/>
      </c>
      <c r="H224" t="str">
        <f t="shared" ca="1" si="7"/>
        <v/>
      </c>
    </row>
    <row r="225" spans="1:8" x14ac:dyDescent="0.25">
      <c r="A225" s="10" t="str">
        <f>IF(DATAPENDUDUK!A225="","",DATAPENDUDUK!A225)</f>
        <v/>
      </c>
      <c r="B225" s="13" t="str">
        <f>IF(DATAPENDUDUK!B225="","",DATAPENDUDUK!B225)</f>
        <v/>
      </c>
      <c r="C225" s="10" t="str">
        <f>IF(DATAPENDUDUK!C225="","",DATAPENDUDUK!C225)</f>
        <v/>
      </c>
      <c r="D225" s="10" t="str">
        <f>IF(DATAPENDUDUK!E225="","",DATAPENDUDUK!E225)</f>
        <v/>
      </c>
      <c r="E225" s="10" t="str">
        <f>IF(DATAPENDUDUK!F225="","",DATAPENDUDUK!F225)</f>
        <v/>
      </c>
      <c r="F225" s="11" t="str">
        <f>IF(DATAPENDUDUK!H225="","",DATAPENDUDUK!H225)</f>
        <v/>
      </c>
      <c r="G225" s="10" t="str">
        <f t="shared" ca="1" si="6"/>
        <v/>
      </c>
      <c r="H225" t="str">
        <f t="shared" ca="1" si="7"/>
        <v/>
      </c>
    </row>
    <row r="226" spans="1:8" x14ac:dyDescent="0.25">
      <c r="A226" s="10" t="str">
        <f>IF(DATAPENDUDUK!A226="","",DATAPENDUDUK!A226)</f>
        <v/>
      </c>
      <c r="B226" s="13" t="str">
        <f>IF(DATAPENDUDUK!B226="","",DATAPENDUDUK!B226)</f>
        <v/>
      </c>
      <c r="C226" s="10" t="str">
        <f>IF(DATAPENDUDUK!C226="","",DATAPENDUDUK!C226)</f>
        <v/>
      </c>
      <c r="D226" s="10" t="str">
        <f>IF(DATAPENDUDUK!E226="","",DATAPENDUDUK!E226)</f>
        <v/>
      </c>
      <c r="E226" s="10" t="str">
        <f>IF(DATAPENDUDUK!F226="","",DATAPENDUDUK!F226)</f>
        <v/>
      </c>
      <c r="F226" s="11" t="str">
        <f>IF(DATAPENDUDUK!H226="","",DATAPENDUDUK!H226)</f>
        <v/>
      </c>
      <c r="G226" s="10" t="str">
        <f t="shared" ca="1" si="6"/>
        <v/>
      </c>
      <c r="H226" t="str">
        <f t="shared" ca="1" si="7"/>
        <v/>
      </c>
    </row>
    <row r="227" spans="1:8" x14ac:dyDescent="0.25">
      <c r="A227" s="10" t="str">
        <f>IF(DATAPENDUDUK!A227="","",DATAPENDUDUK!A227)</f>
        <v/>
      </c>
      <c r="B227" s="13" t="str">
        <f>IF(DATAPENDUDUK!B227="","",DATAPENDUDUK!B227)</f>
        <v/>
      </c>
      <c r="C227" s="10" t="str">
        <f>IF(DATAPENDUDUK!C227="","",DATAPENDUDUK!C227)</f>
        <v/>
      </c>
      <c r="D227" s="10" t="str">
        <f>IF(DATAPENDUDUK!E227="","",DATAPENDUDUK!E227)</f>
        <v/>
      </c>
      <c r="E227" s="10" t="str">
        <f>IF(DATAPENDUDUK!F227="","",DATAPENDUDUK!F227)</f>
        <v/>
      </c>
      <c r="F227" s="11" t="str">
        <f>IF(DATAPENDUDUK!H227="","",DATAPENDUDUK!H227)</f>
        <v/>
      </c>
      <c r="G227" s="10" t="str">
        <f t="shared" ca="1" si="6"/>
        <v/>
      </c>
      <c r="H227" t="str">
        <f t="shared" ca="1" si="7"/>
        <v/>
      </c>
    </row>
    <row r="228" spans="1:8" x14ac:dyDescent="0.25">
      <c r="A228" s="10" t="str">
        <f>IF(DATAPENDUDUK!A228="","",DATAPENDUDUK!A228)</f>
        <v/>
      </c>
      <c r="B228" s="13" t="str">
        <f>IF(DATAPENDUDUK!B228="","",DATAPENDUDUK!B228)</f>
        <v/>
      </c>
      <c r="C228" s="10" t="str">
        <f>IF(DATAPENDUDUK!C228="","",DATAPENDUDUK!C228)</f>
        <v/>
      </c>
      <c r="D228" s="10" t="str">
        <f>IF(DATAPENDUDUK!E228="","",DATAPENDUDUK!E228)</f>
        <v/>
      </c>
      <c r="E228" s="10" t="str">
        <f>IF(DATAPENDUDUK!F228="","",DATAPENDUDUK!F228)</f>
        <v/>
      </c>
      <c r="F228" s="11" t="str">
        <f>IF(DATAPENDUDUK!H228="","",DATAPENDUDUK!H228)</f>
        <v/>
      </c>
      <c r="G228" s="10" t="str">
        <f t="shared" ca="1" si="6"/>
        <v/>
      </c>
      <c r="H228" t="str">
        <f t="shared" ca="1" si="7"/>
        <v/>
      </c>
    </row>
    <row r="229" spans="1:8" x14ac:dyDescent="0.25">
      <c r="A229" s="10" t="str">
        <f>IF(DATAPENDUDUK!A229="","",DATAPENDUDUK!A229)</f>
        <v/>
      </c>
      <c r="B229" s="13" t="str">
        <f>IF(DATAPENDUDUK!B229="","",DATAPENDUDUK!B229)</f>
        <v/>
      </c>
      <c r="C229" s="10" t="str">
        <f>IF(DATAPENDUDUK!C229="","",DATAPENDUDUK!C229)</f>
        <v/>
      </c>
      <c r="D229" s="10" t="str">
        <f>IF(DATAPENDUDUK!E229="","",DATAPENDUDUK!E229)</f>
        <v/>
      </c>
      <c r="E229" s="10" t="str">
        <f>IF(DATAPENDUDUK!F229="","",DATAPENDUDUK!F229)</f>
        <v/>
      </c>
      <c r="F229" s="11" t="str">
        <f>IF(DATAPENDUDUK!H229="","",DATAPENDUDUK!H229)</f>
        <v/>
      </c>
      <c r="G229" s="10" t="str">
        <f t="shared" ca="1" si="6"/>
        <v/>
      </c>
      <c r="H229" t="str">
        <f t="shared" ca="1" si="7"/>
        <v/>
      </c>
    </row>
    <row r="230" spans="1:8" x14ac:dyDescent="0.25">
      <c r="A230" s="10" t="str">
        <f>IF(DATAPENDUDUK!A230="","",DATAPENDUDUK!A230)</f>
        <v/>
      </c>
      <c r="B230" s="13" t="str">
        <f>IF(DATAPENDUDUK!B230="","",DATAPENDUDUK!B230)</f>
        <v/>
      </c>
      <c r="C230" s="10" t="str">
        <f>IF(DATAPENDUDUK!C230="","",DATAPENDUDUK!C230)</f>
        <v/>
      </c>
      <c r="D230" s="10" t="str">
        <f>IF(DATAPENDUDUK!E230="","",DATAPENDUDUK!E230)</f>
        <v/>
      </c>
      <c r="E230" s="10" t="str">
        <f>IF(DATAPENDUDUK!F230="","",DATAPENDUDUK!F230)</f>
        <v/>
      </c>
      <c r="F230" s="11" t="str">
        <f>IF(DATAPENDUDUK!H230="","",DATAPENDUDUK!H230)</f>
        <v/>
      </c>
      <c r="G230" s="10" t="str">
        <f t="shared" ca="1" si="6"/>
        <v/>
      </c>
      <c r="H230" t="str">
        <f t="shared" ca="1" si="7"/>
        <v/>
      </c>
    </row>
    <row r="231" spans="1:8" x14ac:dyDescent="0.25">
      <c r="A231" s="10" t="str">
        <f>IF(DATAPENDUDUK!A231="","",DATAPENDUDUK!A231)</f>
        <v/>
      </c>
      <c r="B231" s="13" t="str">
        <f>IF(DATAPENDUDUK!B231="","",DATAPENDUDUK!B231)</f>
        <v/>
      </c>
      <c r="C231" s="10" t="str">
        <f>IF(DATAPENDUDUK!C231="","",DATAPENDUDUK!C231)</f>
        <v/>
      </c>
      <c r="D231" s="10" t="str">
        <f>IF(DATAPENDUDUK!E231="","",DATAPENDUDUK!E231)</f>
        <v/>
      </c>
      <c r="E231" s="10" t="str">
        <f>IF(DATAPENDUDUK!F231="","",DATAPENDUDUK!F231)</f>
        <v/>
      </c>
      <c r="F231" s="11" t="str">
        <f>IF(DATAPENDUDUK!H231="","",DATAPENDUDUK!H231)</f>
        <v/>
      </c>
      <c r="G231" s="10" t="str">
        <f t="shared" ca="1" si="6"/>
        <v/>
      </c>
      <c r="H231" t="str">
        <f t="shared" ca="1" si="7"/>
        <v/>
      </c>
    </row>
    <row r="232" spans="1:8" x14ac:dyDescent="0.25">
      <c r="A232" s="10" t="str">
        <f>IF(DATAPENDUDUK!A232="","",DATAPENDUDUK!A232)</f>
        <v/>
      </c>
      <c r="B232" s="13" t="str">
        <f>IF(DATAPENDUDUK!B232="","",DATAPENDUDUK!B232)</f>
        <v/>
      </c>
      <c r="C232" s="10" t="str">
        <f>IF(DATAPENDUDUK!C232="","",DATAPENDUDUK!C232)</f>
        <v/>
      </c>
      <c r="D232" s="10" t="str">
        <f>IF(DATAPENDUDUK!E232="","",DATAPENDUDUK!E232)</f>
        <v/>
      </c>
      <c r="E232" s="10" t="str">
        <f>IF(DATAPENDUDUK!F232="","",DATAPENDUDUK!F232)</f>
        <v/>
      </c>
      <c r="F232" s="11" t="str">
        <f>IF(DATAPENDUDUK!H232="","",DATAPENDUDUK!H232)</f>
        <v/>
      </c>
      <c r="G232" s="10" t="str">
        <f t="shared" ca="1" si="6"/>
        <v/>
      </c>
      <c r="H232" t="str">
        <f t="shared" ca="1" si="7"/>
        <v/>
      </c>
    </row>
    <row r="233" spans="1:8" x14ac:dyDescent="0.25">
      <c r="A233" s="10" t="str">
        <f>IF(DATAPENDUDUK!A233="","",DATAPENDUDUK!A233)</f>
        <v/>
      </c>
      <c r="B233" s="13" t="str">
        <f>IF(DATAPENDUDUK!B233="","",DATAPENDUDUK!B233)</f>
        <v/>
      </c>
      <c r="C233" s="10" t="str">
        <f>IF(DATAPENDUDUK!C233="","",DATAPENDUDUK!C233)</f>
        <v/>
      </c>
      <c r="D233" s="10" t="str">
        <f>IF(DATAPENDUDUK!E233="","",DATAPENDUDUK!E233)</f>
        <v/>
      </c>
      <c r="E233" s="10" t="str">
        <f>IF(DATAPENDUDUK!F233="","",DATAPENDUDUK!F233)</f>
        <v/>
      </c>
      <c r="F233" s="11" t="str">
        <f>IF(DATAPENDUDUK!H233="","",DATAPENDUDUK!H233)</f>
        <v/>
      </c>
      <c r="G233" s="10" t="str">
        <f t="shared" ca="1" si="6"/>
        <v/>
      </c>
      <c r="H233" t="str">
        <f t="shared" ca="1" si="7"/>
        <v/>
      </c>
    </row>
    <row r="234" spans="1:8" x14ac:dyDescent="0.25">
      <c r="A234" s="10" t="str">
        <f>IF(DATAPENDUDUK!A234="","",DATAPENDUDUK!A234)</f>
        <v/>
      </c>
      <c r="B234" s="13" t="str">
        <f>IF(DATAPENDUDUK!B234="","",DATAPENDUDUK!B234)</f>
        <v/>
      </c>
      <c r="C234" s="10" t="str">
        <f>IF(DATAPENDUDUK!C234="","",DATAPENDUDUK!C234)</f>
        <v/>
      </c>
      <c r="D234" s="10" t="str">
        <f>IF(DATAPENDUDUK!E234="","",DATAPENDUDUK!E234)</f>
        <v/>
      </c>
      <c r="E234" s="10" t="str">
        <f>IF(DATAPENDUDUK!F234="","",DATAPENDUDUK!F234)</f>
        <v/>
      </c>
      <c r="F234" s="11" t="str">
        <f>IF(DATAPENDUDUK!H234="","",DATAPENDUDUK!H234)</f>
        <v/>
      </c>
      <c r="G234" s="10" t="str">
        <f t="shared" ca="1" si="6"/>
        <v/>
      </c>
      <c r="H234" t="str">
        <f t="shared" ca="1" si="7"/>
        <v/>
      </c>
    </row>
    <row r="235" spans="1:8" x14ac:dyDescent="0.25">
      <c r="A235" s="10" t="str">
        <f>IF(DATAPENDUDUK!A235="","",DATAPENDUDUK!A235)</f>
        <v/>
      </c>
      <c r="B235" s="13" t="str">
        <f>IF(DATAPENDUDUK!B235="","",DATAPENDUDUK!B235)</f>
        <v/>
      </c>
      <c r="C235" s="10" t="str">
        <f>IF(DATAPENDUDUK!C235="","",DATAPENDUDUK!C235)</f>
        <v/>
      </c>
      <c r="D235" s="10" t="str">
        <f>IF(DATAPENDUDUK!E235="","",DATAPENDUDUK!E235)</f>
        <v/>
      </c>
      <c r="E235" s="10" t="str">
        <f>IF(DATAPENDUDUK!F235="","",DATAPENDUDUK!F235)</f>
        <v/>
      </c>
      <c r="F235" s="11" t="str">
        <f>IF(DATAPENDUDUK!H235="","",DATAPENDUDUK!H235)</f>
        <v/>
      </c>
      <c r="G235" s="10" t="str">
        <f t="shared" ca="1" si="6"/>
        <v/>
      </c>
      <c r="H235" t="str">
        <f t="shared" ca="1" si="7"/>
        <v/>
      </c>
    </row>
    <row r="236" spans="1:8" x14ac:dyDescent="0.25">
      <c r="A236" s="10" t="str">
        <f>IF(DATAPENDUDUK!A236="","",DATAPENDUDUK!A236)</f>
        <v/>
      </c>
      <c r="B236" s="13" t="str">
        <f>IF(DATAPENDUDUK!B236="","",DATAPENDUDUK!B236)</f>
        <v/>
      </c>
      <c r="C236" s="10" t="str">
        <f>IF(DATAPENDUDUK!C236="","",DATAPENDUDUK!C236)</f>
        <v/>
      </c>
      <c r="D236" s="10" t="str">
        <f>IF(DATAPENDUDUK!E236="","",DATAPENDUDUK!E236)</f>
        <v/>
      </c>
      <c r="E236" s="10" t="str">
        <f>IF(DATAPENDUDUK!F236="","",DATAPENDUDUK!F236)</f>
        <v/>
      </c>
      <c r="F236" s="11" t="str">
        <f>IF(DATAPENDUDUK!H236="","",DATAPENDUDUK!H236)</f>
        <v/>
      </c>
      <c r="G236" s="10" t="str">
        <f t="shared" ca="1" si="6"/>
        <v/>
      </c>
      <c r="H236" t="str">
        <f t="shared" ca="1" si="7"/>
        <v/>
      </c>
    </row>
    <row r="237" spans="1:8" x14ac:dyDescent="0.25">
      <c r="A237" s="10" t="str">
        <f>IF(DATAPENDUDUK!A237="","",DATAPENDUDUK!A237)</f>
        <v/>
      </c>
      <c r="B237" s="13" t="str">
        <f>IF(DATAPENDUDUK!B237="","",DATAPENDUDUK!B237)</f>
        <v/>
      </c>
      <c r="C237" s="10" t="str">
        <f>IF(DATAPENDUDUK!C237="","",DATAPENDUDUK!C237)</f>
        <v/>
      </c>
      <c r="D237" s="10" t="str">
        <f>IF(DATAPENDUDUK!E237="","",DATAPENDUDUK!E237)</f>
        <v/>
      </c>
      <c r="E237" s="10" t="str">
        <f>IF(DATAPENDUDUK!F237="","",DATAPENDUDUK!F237)</f>
        <v/>
      </c>
      <c r="F237" s="11" t="str">
        <f>IF(DATAPENDUDUK!H237="","",DATAPENDUDUK!H237)</f>
        <v/>
      </c>
      <c r="G237" s="10" t="str">
        <f t="shared" ca="1" si="6"/>
        <v/>
      </c>
      <c r="H237" t="str">
        <f t="shared" ca="1" si="7"/>
        <v/>
      </c>
    </row>
    <row r="238" spans="1:8" x14ac:dyDescent="0.25">
      <c r="A238" s="10" t="str">
        <f>IF(DATAPENDUDUK!A238="","",DATAPENDUDUK!A238)</f>
        <v/>
      </c>
      <c r="B238" s="13" t="str">
        <f>IF(DATAPENDUDUK!B238="","",DATAPENDUDUK!B238)</f>
        <v/>
      </c>
      <c r="C238" s="10" t="str">
        <f>IF(DATAPENDUDUK!C238="","",DATAPENDUDUK!C238)</f>
        <v/>
      </c>
      <c r="D238" s="10" t="str">
        <f>IF(DATAPENDUDUK!E238="","",DATAPENDUDUK!E238)</f>
        <v/>
      </c>
      <c r="E238" s="10" t="str">
        <f>IF(DATAPENDUDUK!F238="","",DATAPENDUDUK!F238)</f>
        <v/>
      </c>
      <c r="F238" s="11" t="str">
        <f>IF(DATAPENDUDUK!H238="","",DATAPENDUDUK!H238)</f>
        <v/>
      </c>
      <c r="G238" s="10" t="str">
        <f t="shared" ca="1" si="6"/>
        <v/>
      </c>
      <c r="H238" t="str">
        <f t="shared" ca="1" si="7"/>
        <v/>
      </c>
    </row>
    <row r="239" spans="1:8" x14ac:dyDescent="0.25">
      <c r="A239" s="10" t="str">
        <f>IF(DATAPENDUDUK!A239="","",DATAPENDUDUK!A239)</f>
        <v/>
      </c>
      <c r="B239" s="13" t="str">
        <f>IF(DATAPENDUDUK!B239="","",DATAPENDUDUK!B239)</f>
        <v/>
      </c>
      <c r="C239" s="10" t="str">
        <f>IF(DATAPENDUDUK!C239="","",DATAPENDUDUK!C239)</f>
        <v/>
      </c>
      <c r="D239" s="10" t="str">
        <f>IF(DATAPENDUDUK!E239="","",DATAPENDUDUK!E239)</f>
        <v/>
      </c>
      <c r="E239" s="10" t="str">
        <f>IF(DATAPENDUDUK!F239="","",DATAPENDUDUK!F239)</f>
        <v/>
      </c>
      <c r="F239" s="11" t="str">
        <f>IF(DATAPENDUDUK!H239="","",DATAPENDUDUK!H239)</f>
        <v/>
      </c>
      <c r="G239" s="10" t="str">
        <f t="shared" ca="1" si="6"/>
        <v/>
      </c>
      <c r="H239" t="str">
        <f t="shared" ca="1" si="7"/>
        <v/>
      </c>
    </row>
    <row r="240" spans="1:8" x14ac:dyDescent="0.25">
      <c r="A240" s="10" t="str">
        <f>IF(DATAPENDUDUK!A240="","",DATAPENDUDUK!A240)</f>
        <v/>
      </c>
      <c r="B240" s="13" t="str">
        <f>IF(DATAPENDUDUK!B240="","",DATAPENDUDUK!B240)</f>
        <v/>
      </c>
      <c r="C240" s="10" t="str">
        <f>IF(DATAPENDUDUK!C240="","",DATAPENDUDUK!C240)</f>
        <v/>
      </c>
      <c r="D240" s="10" t="str">
        <f>IF(DATAPENDUDUK!E240="","",DATAPENDUDUK!E240)</f>
        <v/>
      </c>
      <c r="E240" s="10" t="str">
        <f>IF(DATAPENDUDUK!F240="","",DATAPENDUDUK!F240)</f>
        <v/>
      </c>
      <c r="F240" s="11" t="str">
        <f>IF(DATAPENDUDUK!H240="","",DATAPENDUDUK!H240)</f>
        <v/>
      </c>
      <c r="G240" s="10" t="str">
        <f t="shared" ca="1" si="6"/>
        <v/>
      </c>
      <c r="H240" t="str">
        <f t="shared" ca="1" si="7"/>
        <v/>
      </c>
    </row>
    <row r="241" spans="1:8" x14ac:dyDescent="0.25">
      <c r="A241" s="10" t="str">
        <f>IF(DATAPENDUDUK!A241="","",DATAPENDUDUK!A241)</f>
        <v/>
      </c>
      <c r="B241" s="13" t="str">
        <f>IF(DATAPENDUDUK!B241="","",DATAPENDUDUK!B241)</f>
        <v/>
      </c>
      <c r="C241" s="10" t="str">
        <f>IF(DATAPENDUDUK!C241="","",DATAPENDUDUK!C241)</f>
        <v/>
      </c>
      <c r="D241" s="10" t="str">
        <f>IF(DATAPENDUDUK!E241="","",DATAPENDUDUK!E241)</f>
        <v/>
      </c>
      <c r="E241" s="10" t="str">
        <f>IF(DATAPENDUDUK!F241="","",DATAPENDUDUK!F241)</f>
        <v/>
      </c>
      <c r="F241" s="11" t="str">
        <f>IF(DATAPENDUDUK!H241="","",DATAPENDUDUK!H241)</f>
        <v/>
      </c>
      <c r="G241" s="10" t="str">
        <f t="shared" ca="1" si="6"/>
        <v/>
      </c>
      <c r="H241" t="str">
        <f t="shared" ca="1" si="7"/>
        <v/>
      </c>
    </row>
    <row r="242" spans="1:8" x14ac:dyDescent="0.25">
      <c r="A242" s="10" t="str">
        <f>IF(DATAPENDUDUK!A242="","",DATAPENDUDUK!A242)</f>
        <v/>
      </c>
      <c r="B242" s="13" t="str">
        <f>IF(DATAPENDUDUK!B242="","",DATAPENDUDUK!B242)</f>
        <v/>
      </c>
      <c r="C242" s="10" t="str">
        <f>IF(DATAPENDUDUK!C242="","",DATAPENDUDUK!C242)</f>
        <v/>
      </c>
      <c r="D242" s="10" t="str">
        <f>IF(DATAPENDUDUK!E242="","",DATAPENDUDUK!E242)</f>
        <v/>
      </c>
      <c r="E242" s="10" t="str">
        <f>IF(DATAPENDUDUK!F242="","",DATAPENDUDUK!F242)</f>
        <v/>
      </c>
      <c r="F242" s="11" t="str">
        <f>IF(DATAPENDUDUK!H242="","",DATAPENDUDUK!H242)</f>
        <v/>
      </c>
      <c r="G242" s="10" t="str">
        <f t="shared" ca="1" si="6"/>
        <v/>
      </c>
      <c r="H242" t="str">
        <f t="shared" ca="1" si="7"/>
        <v/>
      </c>
    </row>
    <row r="243" spans="1:8" x14ac:dyDescent="0.25">
      <c r="A243" s="10" t="str">
        <f>IF(DATAPENDUDUK!A243="","",DATAPENDUDUK!A243)</f>
        <v/>
      </c>
      <c r="B243" s="13" t="str">
        <f>IF(DATAPENDUDUK!B243="","",DATAPENDUDUK!B243)</f>
        <v/>
      </c>
      <c r="C243" s="10" t="str">
        <f>IF(DATAPENDUDUK!C243="","",DATAPENDUDUK!C243)</f>
        <v/>
      </c>
      <c r="D243" s="10" t="str">
        <f>IF(DATAPENDUDUK!E243="","",DATAPENDUDUK!E243)</f>
        <v/>
      </c>
      <c r="E243" s="10" t="str">
        <f>IF(DATAPENDUDUK!F243="","",DATAPENDUDUK!F243)</f>
        <v/>
      </c>
      <c r="F243" s="11" t="str">
        <f>IF(DATAPENDUDUK!H243="","",DATAPENDUDUK!H243)</f>
        <v/>
      </c>
      <c r="G243" s="10" t="str">
        <f t="shared" ca="1" si="6"/>
        <v/>
      </c>
      <c r="H243" t="str">
        <f t="shared" ca="1" si="7"/>
        <v/>
      </c>
    </row>
    <row r="244" spans="1:8" x14ac:dyDescent="0.25">
      <c r="A244" s="10" t="str">
        <f>IF(DATAPENDUDUK!A244="","",DATAPENDUDUK!A244)</f>
        <v/>
      </c>
      <c r="B244" s="13" t="str">
        <f>IF(DATAPENDUDUK!B244="","",DATAPENDUDUK!B244)</f>
        <v/>
      </c>
      <c r="C244" s="10" t="str">
        <f>IF(DATAPENDUDUK!C244="","",DATAPENDUDUK!C244)</f>
        <v/>
      </c>
      <c r="D244" s="10" t="str">
        <f>IF(DATAPENDUDUK!E244="","",DATAPENDUDUK!E244)</f>
        <v/>
      </c>
      <c r="E244" s="10" t="str">
        <f>IF(DATAPENDUDUK!F244="","",DATAPENDUDUK!F244)</f>
        <v/>
      </c>
      <c r="F244" s="11" t="str">
        <f>IF(DATAPENDUDUK!H244="","",DATAPENDUDUK!H244)</f>
        <v/>
      </c>
      <c r="G244" s="10" t="str">
        <f t="shared" ca="1" si="6"/>
        <v/>
      </c>
      <c r="H244" t="str">
        <f t="shared" ca="1" si="7"/>
        <v/>
      </c>
    </row>
    <row r="245" spans="1:8" x14ac:dyDescent="0.25">
      <c r="A245" s="10" t="str">
        <f>IF(DATAPENDUDUK!A245="","",DATAPENDUDUK!A245)</f>
        <v/>
      </c>
      <c r="B245" s="13" t="str">
        <f>IF(DATAPENDUDUK!B245="","",DATAPENDUDUK!B245)</f>
        <v/>
      </c>
      <c r="C245" s="10" t="str">
        <f>IF(DATAPENDUDUK!C245="","",DATAPENDUDUK!C245)</f>
        <v/>
      </c>
      <c r="D245" s="10" t="str">
        <f>IF(DATAPENDUDUK!E245="","",DATAPENDUDUK!E245)</f>
        <v/>
      </c>
      <c r="E245" s="10" t="str">
        <f>IF(DATAPENDUDUK!F245="","",DATAPENDUDUK!F245)</f>
        <v/>
      </c>
      <c r="F245" s="11" t="str">
        <f>IF(DATAPENDUDUK!H245="","",DATAPENDUDUK!H245)</f>
        <v/>
      </c>
      <c r="G245" s="10" t="str">
        <f t="shared" ca="1" si="6"/>
        <v/>
      </c>
      <c r="H245" t="str">
        <f t="shared" ca="1" si="7"/>
        <v/>
      </c>
    </row>
    <row r="246" spans="1:8" x14ac:dyDescent="0.25">
      <c r="A246" s="10" t="str">
        <f>IF(DATAPENDUDUK!A246="","",DATAPENDUDUK!A246)</f>
        <v/>
      </c>
      <c r="B246" s="13" t="str">
        <f>IF(DATAPENDUDUK!B246="","",DATAPENDUDUK!B246)</f>
        <v/>
      </c>
      <c r="C246" s="10" t="str">
        <f>IF(DATAPENDUDUK!C246="","",DATAPENDUDUK!C246)</f>
        <v/>
      </c>
      <c r="D246" s="10" t="str">
        <f>IF(DATAPENDUDUK!E246="","",DATAPENDUDUK!E246)</f>
        <v/>
      </c>
      <c r="E246" s="10" t="str">
        <f>IF(DATAPENDUDUK!F246="","",DATAPENDUDUK!F246)</f>
        <v/>
      </c>
      <c r="F246" s="11" t="str">
        <f>IF(DATAPENDUDUK!H246="","",DATAPENDUDUK!H246)</f>
        <v/>
      </c>
      <c r="G246" s="10" t="str">
        <f t="shared" ca="1" si="6"/>
        <v/>
      </c>
      <c r="H246" t="str">
        <f t="shared" ca="1" si="7"/>
        <v/>
      </c>
    </row>
    <row r="247" spans="1:8" x14ac:dyDescent="0.25">
      <c r="A247" s="10" t="str">
        <f>IF(DATAPENDUDUK!A247="","",DATAPENDUDUK!A247)</f>
        <v/>
      </c>
      <c r="B247" s="13" t="str">
        <f>IF(DATAPENDUDUK!B247="","",DATAPENDUDUK!B247)</f>
        <v/>
      </c>
      <c r="C247" s="10" t="str">
        <f>IF(DATAPENDUDUK!C247="","",DATAPENDUDUK!C247)</f>
        <v/>
      </c>
      <c r="D247" s="10" t="str">
        <f>IF(DATAPENDUDUK!E247="","",DATAPENDUDUK!E247)</f>
        <v/>
      </c>
      <c r="E247" s="10" t="str">
        <f>IF(DATAPENDUDUK!F247="","",DATAPENDUDUK!F247)</f>
        <v/>
      </c>
      <c r="F247" s="11" t="str">
        <f>IF(DATAPENDUDUK!H247="","",DATAPENDUDUK!H247)</f>
        <v/>
      </c>
      <c r="G247" s="10" t="str">
        <f t="shared" ca="1" si="6"/>
        <v/>
      </c>
      <c r="H247" t="str">
        <f t="shared" ca="1" si="7"/>
        <v/>
      </c>
    </row>
    <row r="248" spans="1:8" x14ac:dyDescent="0.25">
      <c r="A248" s="10" t="str">
        <f>IF(DATAPENDUDUK!A248="","",DATAPENDUDUK!A248)</f>
        <v/>
      </c>
      <c r="B248" s="13" t="str">
        <f>IF(DATAPENDUDUK!B248="","",DATAPENDUDUK!B248)</f>
        <v/>
      </c>
      <c r="C248" s="10" t="str">
        <f>IF(DATAPENDUDUK!C248="","",DATAPENDUDUK!C248)</f>
        <v/>
      </c>
      <c r="D248" s="10" t="str">
        <f>IF(DATAPENDUDUK!E248="","",DATAPENDUDUK!E248)</f>
        <v/>
      </c>
      <c r="E248" s="10" t="str">
        <f>IF(DATAPENDUDUK!F248="","",DATAPENDUDUK!F248)</f>
        <v/>
      </c>
      <c r="F248" s="11" t="str">
        <f>IF(DATAPENDUDUK!H248="","",DATAPENDUDUK!H248)</f>
        <v/>
      </c>
      <c r="G248" s="10" t="str">
        <f t="shared" ca="1" si="6"/>
        <v/>
      </c>
      <c r="H248" t="str">
        <f t="shared" ca="1" si="7"/>
        <v/>
      </c>
    </row>
    <row r="249" spans="1:8" x14ac:dyDescent="0.25">
      <c r="A249" s="10" t="str">
        <f>IF(DATAPENDUDUK!A249="","",DATAPENDUDUK!A249)</f>
        <v/>
      </c>
      <c r="B249" s="13" t="str">
        <f>IF(DATAPENDUDUK!B249="","",DATAPENDUDUK!B249)</f>
        <v/>
      </c>
      <c r="C249" s="10" t="str">
        <f>IF(DATAPENDUDUK!C249="","",DATAPENDUDUK!C249)</f>
        <v/>
      </c>
      <c r="D249" s="10" t="str">
        <f>IF(DATAPENDUDUK!E249="","",DATAPENDUDUK!E249)</f>
        <v/>
      </c>
      <c r="E249" s="10" t="str">
        <f>IF(DATAPENDUDUK!F249="","",DATAPENDUDUK!F249)</f>
        <v/>
      </c>
      <c r="F249" s="11" t="str">
        <f>IF(DATAPENDUDUK!H249="","",DATAPENDUDUK!H249)</f>
        <v/>
      </c>
      <c r="G249" s="10" t="str">
        <f t="shared" ca="1" si="6"/>
        <v/>
      </c>
      <c r="H249" t="str">
        <f t="shared" ca="1" si="7"/>
        <v/>
      </c>
    </row>
    <row r="250" spans="1:8" x14ac:dyDescent="0.25">
      <c r="A250" s="10" t="str">
        <f>IF(DATAPENDUDUK!A250="","",DATAPENDUDUK!A250)</f>
        <v/>
      </c>
      <c r="B250" s="13" t="str">
        <f>IF(DATAPENDUDUK!B250="","",DATAPENDUDUK!B250)</f>
        <v/>
      </c>
      <c r="C250" s="10" t="str">
        <f>IF(DATAPENDUDUK!C250="","",DATAPENDUDUK!C250)</f>
        <v/>
      </c>
      <c r="D250" s="10" t="str">
        <f>IF(DATAPENDUDUK!E250="","",DATAPENDUDUK!E250)</f>
        <v/>
      </c>
      <c r="E250" s="10" t="str">
        <f>IF(DATAPENDUDUK!F250="","",DATAPENDUDUK!F250)</f>
        <v/>
      </c>
      <c r="F250" s="11" t="str">
        <f>IF(DATAPENDUDUK!H250="","",DATAPENDUDUK!H250)</f>
        <v/>
      </c>
      <c r="G250" s="10" t="str">
        <f t="shared" ca="1" si="6"/>
        <v/>
      </c>
      <c r="H250" t="str">
        <f t="shared" ca="1" si="7"/>
        <v/>
      </c>
    </row>
    <row r="251" spans="1:8" x14ac:dyDescent="0.25">
      <c r="A251" s="10" t="str">
        <f>IF(DATAPENDUDUK!A251="","",DATAPENDUDUK!A251)</f>
        <v/>
      </c>
      <c r="B251" s="13" t="str">
        <f>IF(DATAPENDUDUK!B251="","",DATAPENDUDUK!B251)</f>
        <v/>
      </c>
      <c r="C251" s="10" t="str">
        <f>IF(DATAPENDUDUK!C251="","",DATAPENDUDUK!C251)</f>
        <v/>
      </c>
      <c r="D251" s="10" t="str">
        <f>IF(DATAPENDUDUK!E251="","",DATAPENDUDUK!E251)</f>
        <v/>
      </c>
      <c r="E251" s="10" t="str">
        <f>IF(DATAPENDUDUK!F251="","",DATAPENDUDUK!F251)</f>
        <v/>
      </c>
      <c r="F251" s="11" t="str">
        <f>IF(DATAPENDUDUK!H251="","",DATAPENDUDUK!H251)</f>
        <v/>
      </c>
      <c r="G251" s="10" t="str">
        <f t="shared" ca="1" si="6"/>
        <v/>
      </c>
      <c r="H251" t="str">
        <f t="shared" ca="1" si="7"/>
        <v/>
      </c>
    </row>
    <row r="252" spans="1:8" x14ac:dyDescent="0.25">
      <c r="A252" s="10" t="str">
        <f>IF(DATAPENDUDUK!A252="","",DATAPENDUDUK!A252)</f>
        <v/>
      </c>
      <c r="B252" s="13" t="str">
        <f>IF(DATAPENDUDUK!B252="","",DATAPENDUDUK!B252)</f>
        <v/>
      </c>
      <c r="C252" s="10" t="str">
        <f>IF(DATAPENDUDUK!C252="","",DATAPENDUDUK!C252)</f>
        <v/>
      </c>
      <c r="D252" s="10" t="str">
        <f>IF(DATAPENDUDUK!E252="","",DATAPENDUDUK!E252)</f>
        <v/>
      </c>
      <c r="E252" s="10" t="str">
        <f>IF(DATAPENDUDUK!F252="","",DATAPENDUDUK!F252)</f>
        <v/>
      </c>
      <c r="F252" s="11" t="str">
        <f>IF(DATAPENDUDUK!H252="","",DATAPENDUDUK!H252)</f>
        <v/>
      </c>
      <c r="G252" s="10" t="str">
        <f t="shared" ca="1" si="6"/>
        <v/>
      </c>
      <c r="H252" t="str">
        <f t="shared" ca="1" si="7"/>
        <v/>
      </c>
    </row>
    <row r="253" spans="1:8" x14ac:dyDescent="0.25">
      <c r="A253" s="10" t="str">
        <f>IF(DATAPENDUDUK!A253="","",DATAPENDUDUK!A253)</f>
        <v/>
      </c>
      <c r="B253" s="13" t="str">
        <f>IF(DATAPENDUDUK!B253="","",DATAPENDUDUK!B253)</f>
        <v/>
      </c>
      <c r="C253" s="10" t="str">
        <f>IF(DATAPENDUDUK!C253="","",DATAPENDUDUK!C253)</f>
        <v/>
      </c>
      <c r="D253" s="10" t="str">
        <f>IF(DATAPENDUDUK!E253="","",DATAPENDUDUK!E253)</f>
        <v/>
      </c>
      <c r="E253" s="10" t="str">
        <f>IF(DATAPENDUDUK!F253="","",DATAPENDUDUK!F253)</f>
        <v/>
      </c>
      <c r="F253" s="11" t="str">
        <f>IF(DATAPENDUDUK!H253="","",DATAPENDUDUK!H253)</f>
        <v/>
      </c>
      <c r="G253" s="10" t="str">
        <f t="shared" ca="1" si="6"/>
        <v/>
      </c>
      <c r="H253" t="str">
        <f t="shared" ca="1" si="7"/>
        <v/>
      </c>
    </row>
    <row r="254" spans="1:8" x14ac:dyDescent="0.25">
      <c r="A254" s="10" t="str">
        <f>IF(DATAPENDUDUK!A254="","",DATAPENDUDUK!A254)</f>
        <v/>
      </c>
      <c r="B254" s="13" t="str">
        <f>IF(DATAPENDUDUK!B254="","",DATAPENDUDUK!B254)</f>
        <v/>
      </c>
      <c r="C254" s="10" t="str">
        <f>IF(DATAPENDUDUK!C254="","",DATAPENDUDUK!C254)</f>
        <v/>
      </c>
      <c r="D254" s="10" t="str">
        <f>IF(DATAPENDUDUK!E254="","",DATAPENDUDUK!E254)</f>
        <v/>
      </c>
      <c r="E254" s="10" t="str">
        <f>IF(DATAPENDUDUK!F254="","",DATAPENDUDUK!F254)</f>
        <v/>
      </c>
      <c r="F254" s="11" t="str">
        <f>IF(DATAPENDUDUK!H254="","",DATAPENDUDUK!H254)</f>
        <v/>
      </c>
      <c r="G254" s="10" t="str">
        <f t="shared" ca="1" si="6"/>
        <v/>
      </c>
      <c r="H254" t="str">
        <f t="shared" ca="1" si="7"/>
        <v/>
      </c>
    </row>
    <row r="255" spans="1:8" x14ac:dyDescent="0.25">
      <c r="A255" s="10" t="str">
        <f>IF(DATAPENDUDUK!A255="","",DATAPENDUDUK!A255)</f>
        <v/>
      </c>
      <c r="B255" s="13" t="str">
        <f>IF(DATAPENDUDUK!B255="","",DATAPENDUDUK!B255)</f>
        <v/>
      </c>
      <c r="C255" s="10" t="str">
        <f>IF(DATAPENDUDUK!C255="","",DATAPENDUDUK!C255)</f>
        <v/>
      </c>
      <c r="D255" s="10" t="str">
        <f>IF(DATAPENDUDUK!E255="","",DATAPENDUDUK!E255)</f>
        <v/>
      </c>
      <c r="E255" s="10" t="str">
        <f>IF(DATAPENDUDUK!F255="","",DATAPENDUDUK!F255)</f>
        <v/>
      </c>
      <c r="F255" s="11" t="str">
        <f>IF(DATAPENDUDUK!H255="","",DATAPENDUDUK!H255)</f>
        <v/>
      </c>
      <c r="G255" s="10" t="str">
        <f t="shared" ca="1" si="6"/>
        <v/>
      </c>
      <c r="H255" t="str">
        <f t="shared" ca="1" si="7"/>
        <v/>
      </c>
    </row>
    <row r="256" spans="1:8" x14ac:dyDescent="0.25">
      <c r="A256" s="10" t="str">
        <f>IF(DATAPENDUDUK!A256="","",DATAPENDUDUK!A256)</f>
        <v/>
      </c>
      <c r="B256" s="13" t="str">
        <f>IF(DATAPENDUDUK!B256="","",DATAPENDUDUK!B256)</f>
        <v/>
      </c>
      <c r="C256" s="10" t="str">
        <f>IF(DATAPENDUDUK!C256="","",DATAPENDUDUK!C256)</f>
        <v/>
      </c>
      <c r="D256" s="10" t="str">
        <f>IF(DATAPENDUDUK!E256="","",DATAPENDUDUK!E256)</f>
        <v/>
      </c>
      <c r="E256" s="10" t="str">
        <f>IF(DATAPENDUDUK!F256="","",DATAPENDUDUK!F256)</f>
        <v/>
      </c>
      <c r="F256" s="11" t="str">
        <f>IF(DATAPENDUDUK!H256="","",DATAPENDUDUK!H256)</f>
        <v/>
      </c>
      <c r="G256" s="10" t="str">
        <f t="shared" ca="1" si="6"/>
        <v/>
      </c>
      <c r="H256" t="str">
        <f t="shared" ca="1" si="7"/>
        <v/>
      </c>
    </row>
    <row r="257" spans="1:8" x14ac:dyDescent="0.25">
      <c r="A257" s="10" t="str">
        <f>IF(DATAPENDUDUK!A257="","",DATAPENDUDUK!A257)</f>
        <v/>
      </c>
      <c r="B257" s="13" t="str">
        <f>IF(DATAPENDUDUK!B257="","",DATAPENDUDUK!B257)</f>
        <v/>
      </c>
      <c r="C257" s="10" t="str">
        <f>IF(DATAPENDUDUK!C257="","",DATAPENDUDUK!C257)</f>
        <v/>
      </c>
      <c r="D257" s="10" t="str">
        <f>IF(DATAPENDUDUK!E257="","",DATAPENDUDUK!E257)</f>
        <v/>
      </c>
      <c r="E257" s="10" t="str">
        <f>IF(DATAPENDUDUK!F257="","",DATAPENDUDUK!F257)</f>
        <v/>
      </c>
      <c r="F257" s="11" t="str">
        <f>IF(DATAPENDUDUK!H257="","",DATAPENDUDUK!H257)</f>
        <v/>
      </c>
      <c r="G257" s="10" t="str">
        <f t="shared" ca="1" si="6"/>
        <v/>
      </c>
      <c r="H257" t="str">
        <f t="shared" ca="1" si="7"/>
        <v/>
      </c>
    </row>
    <row r="258" spans="1:8" x14ac:dyDescent="0.25">
      <c r="A258" s="10" t="str">
        <f>IF(DATAPENDUDUK!A258="","",DATAPENDUDUK!A258)</f>
        <v/>
      </c>
      <c r="B258" s="13" t="str">
        <f>IF(DATAPENDUDUK!B258="","",DATAPENDUDUK!B258)</f>
        <v/>
      </c>
      <c r="C258" s="10" t="str">
        <f>IF(DATAPENDUDUK!C258="","",DATAPENDUDUK!C258)</f>
        <v/>
      </c>
      <c r="D258" s="10" t="str">
        <f>IF(DATAPENDUDUK!E258="","",DATAPENDUDUK!E258)</f>
        <v/>
      </c>
      <c r="E258" s="10" t="str">
        <f>IF(DATAPENDUDUK!F258="","",DATAPENDUDUK!F258)</f>
        <v/>
      </c>
      <c r="F258" s="11" t="str">
        <f>IF(DATAPENDUDUK!H258="","",DATAPENDUDUK!H258)</f>
        <v/>
      </c>
      <c r="G258" s="10" t="str">
        <f t="shared" ca="1" si="6"/>
        <v/>
      </c>
      <c r="H258" t="str">
        <f t="shared" ca="1" si="7"/>
        <v/>
      </c>
    </row>
    <row r="259" spans="1:8" x14ac:dyDescent="0.25">
      <c r="A259" s="10" t="str">
        <f>IF(DATAPENDUDUK!A259="","",DATAPENDUDUK!A259)</f>
        <v/>
      </c>
      <c r="B259" s="13" t="str">
        <f>IF(DATAPENDUDUK!B259="","",DATAPENDUDUK!B259)</f>
        <v/>
      </c>
      <c r="C259" s="10" t="str">
        <f>IF(DATAPENDUDUK!C259="","",DATAPENDUDUK!C259)</f>
        <v/>
      </c>
      <c r="D259" s="10" t="str">
        <f>IF(DATAPENDUDUK!E259="","",DATAPENDUDUK!E259)</f>
        <v/>
      </c>
      <c r="E259" s="10" t="str">
        <f>IF(DATAPENDUDUK!F259="","",DATAPENDUDUK!F259)</f>
        <v/>
      </c>
      <c r="F259" s="11" t="str">
        <f>IF(DATAPENDUDUK!H259="","",DATAPENDUDUK!H259)</f>
        <v/>
      </c>
      <c r="G259" s="10" t="str">
        <f t="shared" ca="1" si="6"/>
        <v/>
      </c>
      <c r="H259" t="str">
        <f t="shared" ca="1" si="7"/>
        <v/>
      </c>
    </row>
    <row r="260" spans="1:8" x14ac:dyDescent="0.25">
      <c r="A260" s="10" t="str">
        <f>IF(DATAPENDUDUK!A260="","",DATAPENDUDUK!A260)</f>
        <v/>
      </c>
      <c r="B260" s="13" t="str">
        <f>IF(DATAPENDUDUK!B260="","",DATAPENDUDUK!B260)</f>
        <v/>
      </c>
      <c r="C260" s="10" t="str">
        <f>IF(DATAPENDUDUK!C260="","",DATAPENDUDUK!C260)</f>
        <v/>
      </c>
      <c r="D260" s="10" t="str">
        <f>IF(DATAPENDUDUK!E260="","",DATAPENDUDUK!E260)</f>
        <v/>
      </c>
      <c r="E260" s="10" t="str">
        <f>IF(DATAPENDUDUK!F260="","",DATAPENDUDUK!F260)</f>
        <v/>
      </c>
      <c r="F260" s="11" t="str">
        <f>IF(DATAPENDUDUK!H260="","",DATAPENDUDUK!H260)</f>
        <v/>
      </c>
      <c r="G260" s="10" t="str">
        <f t="shared" ca="1" si="6"/>
        <v/>
      </c>
      <c r="H260" t="str">
        <f t="shared" ca="1" si="7"/>
        <v/>
      </c>
    </row>
    <row r="261" spans="1:8" x14ac:dyDescent="0.25">
      <c r="A261" s="10" t="str">
        <f>IF(DATAPENDUDUK!A261="","",DATAPENDUDUK!A261)</f>
        <v/>
      </c>
      <c r="B261" s="13" t="str">
        <f>IF(DATAPENDUDUK!B261="","",DATAPENDUDUK!B261)</f>
        <v/>
      </c>
      <c r="C261" s="10" t="str">
        <f>IF(DATAPENDUDUK!C261="","",DATAPENDUDUK!C261)</f>
        <v/>
      </c>
      <c r="D261" s="10" t="str">
        <f>IF(DATAPENDUDUK!E261="","",DATAPENDUDUK!E261)</f>
        <v/>
      </c>
      <c r="E261" s="10" t="str">
        <f>IF(DATAPENDUDUK!F261="","",DATAPENDUDUK!F261)</f>
        <v/>
      </c>
      <c r="F261" s="11" t="str">
        <f>IF(DATAPENDUDUK!H261="","",DATAPENDUDUK!H261)</f>
        <v/>
      </c>
      <c r="G261" s="10" t="str">
        <f t="shared" ca="1" si="6"/>
        <v/>
      </c>
      <c r="H261" t="str">
        <f t="shared" ca="1" si="7"/>
        <v/>
      </c>
    </row>
    <row r="262" spans="1:8" x14ac:dyDescent="0.25">
      <c r="A262" s="10" t="str">
        <f>IF(DATAPENDUDUK!A262="","",DATAPENDUDUK!A262)</f>
        <v/>
      </c>
      <c r="B262" s="13" t="str">
        <f>IF(DATAPENDUDUK!B262="","",DATAPENDUDUK!B262)</f>
        <v/>
      </c>
      <c r="C262" s="10" t="str">
        <f>IF(DATAPENDUDUK!C262="","",DATAPENDUDUK!C262)</f>
        <v/>
      </c>
      <c r="D262" s="10" t="str">
        <f>IF(DATAPENDUDUK!E262="","",DATAPENDUDUK!E262)</f>
        <v/>
      </c>
      <c r="E262" s="10" t="str">
        <f>IF(DATAPENDUDUK!F262="","",DATAPENDUDUK!F262)</f>
        <v/>
      </c>
      <c r="F262" s="11" t="str">
        <f>IF(DATAPENDUDUK!H262="","",DATAPENDUDUK!H262)</f>
        <v/>
      </c>
      <c r="G262" s="10" t="str">
        <f t="shared" ref="G262:G325" ca="1" si="8">IFERROR(DATEDIF(F262,TODAY(),"Y"),"")</f>
        <v/>
      </c>
      <c r="H262" t="str">
        <f t="shared" ref="H262:H325" ca="1" si="9">IF(G262="","",IF(G262&lt;=1,"Bayi",IF(G262&lt;=10,"Anak-Anak",IF(G262&lt;=19,"Remaja",IF(G262&lt;=60,"Dewasa",IF(G262&gt;60,"Lanjut Usia"))))))</f>
        <v/>
      </c>
    </row>
    <row r="263" spans="1:8" x14ac:dyDescent="0.25">
      <c r="A263" s="10" t="str">
        <f>IF(DATAPENDUDUK!A263="","",DATAPENDUDUK!A263)</f>
        <v/>
      </c>
      <c r="B263" s="13" t="str">
        <f>IF(DATAPENDUDUK!B263="","",DATAPENDUDUK!B263)</f>
        <v/>
      </c>
      <c r="C263" s="10" t="str">
        <f>IF(DATAPENDUDUK!C263="","",DATAPENDUDUK!C263)</f>
        <v/>
      </c>
      <c r="D263" s="10" t="str">
        <f>IF(DATAPENDUDUK!E263="","",DATAPENDUDUK!E263)</f>
        <v/>
      </c>
      <c r="E263" s="10" t="str">
        <f>IF(DATAPENDUDUK!F263="","",DATAPENDUDUK!F263)</f>
        <v/>
      </c>
      <c r="F263" s="11" t="str">
        <f>IF(DATAPENDUDUK!H263="","",DATAPENDUDUK!H263)</f>
        <v/>
      </c>
      <c r="G263" s="10" t="str">
        <f t="shared" ca="1" si="8"/>
        <v/>
      </c>
      <c r="H263" t="str">
        <f t="shared" ca="1" si="9"/>
        <v/>
      </c>
    </row>
    <row r="264" spans="1:8" x14ac:dyDescent="0.25">
      <c r="A264" s="10" t="str">
        <f>IF(DATAPENDUDUK!A264="","",DATAPENDUDUK!A264)</f>
        <v/>
      </c>
      <c r="B264" s="13" t="str">
        <f>IF(DATAPENDUDUK!B264="","",DATAPENDUDUK!B264)</f>
        <v/>
      </c>
      <c r="C264" s="10" t="str">
        <f>IF(DATAPENDUDUK!C264="","",DATAPENDUDUK!C264)</f>
        <v/>
      </c>
      <c r="D264" s="10" t="str">
        <f>IF(DATAPENDUDUK!E264="","",DATAPENDUDUK!E264)</f>
        <v/>
      </c>
      <c r="E264" s="10" t="str">
        <f>IF(DATAPENDUDUK!F264="","",DATAPENDUDUK!F264)</f>
        <v/>
      </c>
      <c r="F264" s="11" t="str">
        <f>IF(DATAPENDUDUK!H264="","",DATAPENDUDUK!H264)</f>
        <v/>
      </c>
      <c r="G264" s="10" t="str">
        <f t="shared" ca="1" si="8"/>
        <v/>
      </c>
      <c r="H264" t="str">
        <f t="shared" ca="1" si="9"/>
        <v/>
      </c>
    </row>
    <row r="265" spans="1:8" x14ac:dyDescent="0.25">
      <c r="A265" s="10" t="str">
        <f>IF(DATAPENDUDUK!A265="","",DATAPENDUDUK!A265)</f>
        <v/>
      </c>
      <c r="B265" s="13" t="str">
        <f>IF(DATAPENDUDUK!B265="","",DATAPENDUDUK!B265)</f>
        <v/>
      </c>
      <c r="C265" s="10" t="str">
        <f>IF(DATAPENDUDUK!C265="","",DATAPENDUDUK!C265)</f>
        <v/>
      </c>
      <c r="D265" s="10" t="str">
        <f>IF(DATAPENDUDUK!E265="","",DATAPENDUDUK!E265)</f>
        <v/>
      </c>
      <c r="E265" s="10" t="str">
        <f>IF(DATAPENDUDUK!F265="","",DATAPENDUDUK!F265)</f>
        <v/>
      </c>
      <c r="F265" s="11" t="str">
        <f>IF(DATAPENDUDUK!H265="","",DATAPENDUDUK!H265)</f>
        <v/>
      </c>
      <c r="G265" s="10" t="str">
        <f t="shared" ca="1" si="8"/>
        <v/>
      </c>
      <c r="H265" t="str">
        <f t="shared" ca="1" si="9"/>
        <v/>
      </c>
    </row>
    <row r="266" spans="1:8" x14ac:dyDescent="0.25">
      <c r="A266" s="10" t="str">
        <f>IF(DATAPENDUDUK!A266="","",DATAPENDUDUK!A266)</f>
        <v/>
      </c>
      <c r="B266" s="13" t="str">
        <f>IF(DATAPENDUDUK!B266="","",DATAPENDUDUK!B266)</f>
        <v/>
      </c>
      <c r="C266" s="10" t="str">
        <f>IF(DATAPENDUDUK!C266="","",DATAPENDUDUK!C266)</f>
        <v/>
      </c>
      <c r="D266" s="10" t="str">
        <f>IF(DATAPENDUDUK!E266="","",DATAPENDUDUK!E266)</f>
        <v/>
      </c>
      <c r="E266" s="10" t="str">
        <f>IF(DATAPENDUDUK!F266="","",DATAPENDUDUK!F266)</f>
        <v/>
      </c>
      <c r="F266" s="11" t="str">
        <f>IF(DATAPENDUDUK!H266="","",DATAPENDUDUK!H266)</f>
        <v/>
      </c>
      <c r="G266" s="10" t="str">
        <f t="shared" ca="1" si="8"/>
        <v/>
      </c>
      <c r="H266" t="str">
        <f t="shared" ca="1" si="9"/>
        <v/>
      </c>
    </row>
    <row r="267" spans="1:8" x14ac:dyDescent="0.25">
      <c r="A267" s="10" t="str">
        <f>IF(DATAPENDUDUK!A267="","",DATAPENDUDUK!A267)</f>
        <v/>
      </c>
      <c r="B267" s="13" t="str">
        <f>IF(DATAPENDUDUK!B267="","",DATAPENDUDUK!B267)</f>
        <v/>
      </c>
      <c r="C267" s="10" t="str">
        <f>IF(DATAPENDUDUK!C267="","",DATAPENDUDUK!C267)</f>
        <v/>
      </c>
      <c r="D267" s="10" t="str">
        <f>IF(DATAPENDUDUK!E267="","",DATAPENDUDUK!E267)</f>
        <v/>
      </c>
      <c r="E267" s="10" t="str">
        <f>IF(DATAPENDUDUK!F267="","",DATAPENDUDUK!F267)</f>
        <v/>
      </c>
      <c r="F267" s="11" t="str">
        <f>IF(DATAPENDUDUK!H267="","",DATAPENDUDUK!H267)</f>
        <v/>
      </c>
      <c r="G267" s="10" t="str">
        <f t="shared" ca="1" si="8"/>
        <v/>
      </c>
      <c r="H267" t="str">
        <f t="shared" ca="1" si="9"/>
        <v/>
      </c>
    </row>
    <row r="268" spans="1:8" x14ac:dyDescent="0.25">
      <c r="A268" s="10" t="str">
        <f>IF(DATAPENDUDUK!A268="","",DATAPENDUDUK!A268)</f>
        <v/>
      </c>
      <c r="B268" s="13" t="str">
        <f>IF(DATAPENDUDUK!B268="","",DATAPENDUDUK!B268)</f>
        <v/>
      </c>
      <c r="C268" s="10" t="str">
        <f>IF(DATAPENDUDUK!C268="","",DATAPENDUDUK!C268)</f>
        <v/>
      </c>
      <c r="D268" s="10" t="str">
        <f>IF(DATAPENDUDUK!E268="","",DATAPENDUDUK!E268)</f>
        <v/>
      </c>
      <c r="E268" s="10" t="str">
        <f>IF(DATAPENDUDUK!F268="","",DATAPENDUDUK!F268)</f>
        <v/>
      </c>
      <c r="F268" s="11" t="str">
        <f>IF(DATAPENDUDUK!H268="","",DATAPENDUDUK!H268)</f>
        <v/>
      </c>
      <c r="G268" s="10" t="str">
        <f t="shared" ca="1" si="8"/>
        <v/>
      </c>
      <c r="H268" t="str">
        <f t="shared" ca="1" si="9"/>
        <v/>
      </c>
    </row>
    <row r="269" spans="1:8" x14ac:dyDescent="0.25">
      <c r="A269" s="10" t="str">
        <f>IF(DATAPENDUDUK!A269="","",DATAPENDUDUK!A269)</f>
        <v/>
      </c>
      <c r="B269" s="13" t="str">
        <f>IF(DATAPENDUDUK!B269="","",DATAPENDUDUK!B269)</f>
        <v/>
      </c>
      <c r="C269" s="10" t="str">
        <f>IF(DATAPENDUDUK!C269="","",DATAPENDUDUK!C269)</f>
        <v/>
      </c>
      <c r="D269" s="10" t="str">
        <f>IF(DATAPENDUDUK!E269="","",DATAPENDUDUK!E269)</f>
        <v/>
      </c>
      <c r="E269" s="10" t="str">
        <f>IF(DATAPENDUDUK!F269="","",DATAPENDUDUK!F269)</f>
        <v/>
      </c>
      <c r="F269" s="11" t="str">
        <f>IF(DATAPENDUDUK!H269="","",DATAPENDUDUK!H269)</f>
        <v/>
      </c>
      <c r="G269" s="10" t="str">
        <f t="shared" ca="1" si="8"/>
        <v/>
      </c>
      <c r="H269" t="str">
        <f t="shared" ca="1" si="9"/>
        <v/>
      </c>
    </row>
    <row r="270" spans="1:8" x14ac:dyDescent="0.25">
      <c r="A270" s="10" t="str">
        <f>IF(DATAPENDUDUK!A270="","",DATAPENDUDUK!A270)</f>
        <v/>
      </c>
      <c r="B270" s="13" t="str">
        <f>IF(DATAPENDUDUK!B270="","",DATAPENDUDUK!B270)</f>
        <v/>
      </c>
      <c r="C270" s="10" t="str">
        <f>IF(DATAPENDUDUK!C270="","",DATAPENDUDUK!C270)</f>
        <v/>
      </c>
      <c r="D270" s="10" t="str">
        <f>IF(DATAPENDUDUK!E270="","",DATAPENDUDUK!E270)</f>
        <v/>
      </c>
      <c r="E270" s="10" t="str">
        <f>IF(DATAPENDUDUK!F270="","",DATAPENDUDUK!F270)</f>
        <v/>
      </c>
      <c r="F270" s="11" t="str">
        <f>IF(DATAPENDUDUK!H270="","",DATAPENDUDUK!H270)</f>
        <v/>
      </c>
      <c r="G270" s="10" t="str">
        <f t="shared" ca="1" si="8"/>
        <v/>
      </c>
      <c r="H270" t="str">
        <f t="shared" ca="1" si="9"/>
        <v/>
      </c>
    </row>
    <row r="271" spans="1:8" x14ac:dyDescent="0.25">
      <c r="A271" s="10" t="str">
        <f>IF(DATAPENDUDUK!A271="","",DATAPENDUDUK!A271)</f>
        <v/>
      </c>
      <c r="B271" s="13" t="str">
        <f>IF(DATAPENDUDUK!B271="","",DATAPENDUDUK!B271)</f>
        <v/>
      </c>
      <c r="C271" s="10" t="str">
        <f>IF(DATAPENDUDUK!C271="","",DATAPENDUDUK!C271)</f>
        <v/>
      </c>
      <c r="D271" s="10" t="str">
        <f>IF(DATAPENDUDUK!E271="","",DATAPENDUDUK!E271)</f>
        <v/>
      </c>
      <c r="E271" s="10" t="str">
        <f>IF(DATAPENDUDUK!F271="","",DATAPENDUDUK!F271)</f>
        <v/>
      </c>
      <c r="F271" s="11" t="str">
        <f>IF(DATAPENDUDUK!H271="","",DATAPENDUDUK!H271)</f>
        <v/>
      </c>
      <c r="G271" s="10" t="str">
        <f t="shared" ca="1" si="8"/>
        <v/>
      </c>
      <c r="H271" t="str">
        <f t="shared" ca="1" si="9"/>
        <v/>
      </c>
    </row>
    <row r="272" spans="1:8" x14ac:dyDescent="0.25">
      <c r="A272" s="10" t="str">
        <f>IF(DATAPENDUDUK!A272="","",DATAPENDUDUK!A272)</f>
        <v/>
      </c>
      <c r="B272" s="13" t="str">
        <f>IF(DATAPENDUDUK!B272="","",DATAPENDUDUK!B272)</f>
        <v/>
      </c>
      <c r="C272" s="10" t="str">
        <f>IF(DATAPENDUDUK!C272="","",DATAPENDUDUK!C272)</f>
        <v/>
      </c>
      <c r="D272" s="10" t="str">
        <f>IF(DATAPENDUDUK!E272="","",DATAPENDUDUK!E272)</f>
        <v/>
      </c>
      <c r="E272" s="10" t="str">
        <f>IF(DATAPENDUDUK!F272="","",DATAPENDUDUK!F272)</f>
        <v/>
      </c>
      <c r="F272" s="11" t="str">
        <f>IF(DATAPENDUDUK!H272="","",DATAPENDUDUK!H272)</f>
        <v/>
      </c>
      <c r="G272" s="10" t="str">
        <f t="shared" ca="1" si="8"/>
        <v/>
      </c>
      <c r="H272" t="str">
        <f t="shared" ca="1" si="9"/>
        <v/>
      </c>
    </row>
    <row r="273" spans="1:8" x14ac:dyDescent="0.25">
      <c r="A273" s="10" t="str">
        <f>IF(DATAPENDUDUK!A273="","",DATAPENDUDUK!A273)</f>
        <v/>
      </c>
      <c r="B273" s="13" t="str">
        <f>IF(DATAPENDUDUK!B273="","",DATAPENDUDUK!B273)</f>
        <v/>
      </c>
      <c r="C273" s="10" t="str">
        <f>IF(DATAPENDUDUK!C273="","",DATAPENDUDUK!C273)</f>
        <v/>
      </c>
      <c r="D273" s="10" t="str">
        <f>IF(DATAPENDUDUK!E273="","",DATAPENDUDUK!E273)</f>
        <v/>
      </c>
      <c r="E273" s="10" t="str">
        <f>IF(DATAPENDUDUK!F273="","",DATAPENDUDUK!F273)</f>
        <v/>
      </c>
      <c r="F273" s="11" t="str">
        <f>IF(DATAPENDUDUK!H273="","",DATAPENDUDUK!H273)</f>
        <v/>
      </c>
      <c r="G273" s="10" t="str">
        <f t="shared" ca="1" si="8"/>
        <v/>
      </c>
      <c r="H273" t="str">
        <f t="shared" ca="1" si="9"/>
        <v/>
      </c>
    </row>
    <row r="274" spans="1:8" x14ac:dyDescent="0.25">
      <c r="A274" s="10" t="str">
        <f>IF(DATAPENDUDUK!A274="","",DATAPENDUDUK!A274)</f>
        <v/>
      </c>
      <c r="B274" s="13" t="str">
        <f>IF(DATAPENDUDUK!B274="","",DATAPENDUDUK!B274)</f>
        <v/>
      </c>
      <c r="C274" s="10" t="str">
        <f>IF(DATAPENDUDUK!C274="","",DATAPENDUDUK!C274)</f>
        <v/>
      </c>
      <c r="D274" s="10" t="str">
        <f>IF(DATAPENDUDUK!E274="","",DATAPENDUDUK!E274)</f>
        <v/>
      </c>
      <c r="E274" s="10" t="str">
        <f>IF(DATAPENDUDUK!F274="","",DATAPENDUDUK!F274)</f>
        <v/>
      </c>
      <c r="F274" s="11" t="str">
        <f>IF(DATAPENDUDUK!H274="","",DATAPENDUDUK!H274)</f>
        <v/>
      </c>
      <c r="G274" s="10" t="str">
        <f t="shared" ca="1" si="8"/>
        <v/>
      </c>
      <c r="H274" t="str">
        <f t="shared" ca="1" si="9"/>
        <v/>
      </c>
    </row>
    <row r="275" spans="1:8" x14ac:dyDescent="0.25">
      <c r="A275" s="10" t="str">
        <f>IF(DATAPENDUDUK!A275="","",DATAPENDUDUK!A275)</f>
        <v/>
      </c>
      <c r="B275" s="13" t="str">
        <f>IF(DATAPENDUDUK!B275="","",DATAPENDUDUK!B275)</f>
        <v/>
      </c>
      <c r="C275" s="10" t="str">
        <f>IF(DATAPENDUDUK!C275="","",DATAPENDUDUK!C275)</f>
        <v/>
      </c>
      <c r="D275" s="10" t="str">
        <f>IF(DATAPENDUDUK!E275="","",DATAPENDUDUK!E275)</f>
        <v/>
      </c>
      <c r="E275" s="10" t="str">
        <f>IF(DATAPENDUDUK!F275="","",DATAPENDUDUK!F275)</f>
        <v/>
      </c>
      <c r="F275" s="11" t="str">
        <f>IF(DATAPENDUDUK!H275="","",DATAPENDUDUK!H275)</f>
        <v/>
      </c>
      <c r="G275" s="10" t="str">
        <f t="shared" ca="1" si="8"/>
        <v/>
      </c>
      <c r="H275" t="str">
        <f t="shared" ca="1" si="9"/>
        <v/>
      </c>
    </row>
    <row r="276" spans="1:8" x14ac:dyDescent="0.25">
      <c r="A276" s="10" t="str">
        <f>IF(DATAPENDUDUK!A276="","",DATAPENDUDUK!A276)</f>
        <v/>
      </c>
      <c r="B276" s="13" t="str">
        <f>IF(DATAPENDUDUK!B276="","",DATAPENDUDUK!B276)</f>
        <v/>
      </c>
      <c r="C276" s="10" t="str">
        <f>IF(DATAPENDUDUK!C276="","",DATAPENDUDUK!C276)</f>
        <v/>
      </c>
      <c r="D276" s="10" t="str">
        <f>IF(DATAPENDUDUK!E276="","",DATAPENDUDUK!E276)</f>
        <v/>
      </c>
      <c r="E276" s="10" t="str">
        <f>IF(DATAPENDUDUK!F276="","",DATAPENDUDUK!F276)</f>
        <v/>
      </c>
      <c r="F276" s="11" t="str">
        <f>IF(DATAPENDUDUK!H276="","",DATAPENDUDUK!H276)</f>
        <v/>
      </c>
      <c r="G276" s="10" t="str">
        <f t="shared" ca="1" si="8"/>
        <v/>
      </c>
      <c r="H276" t="str">
        <f t="shared" ca="1" si="9"/>
        <v/>
      </c>
    </row>
    <row r="277" spans="1:8" x14ac:dyDescent="0.25">
      <c r="A277" s="10" t="str">
        <f>IF(DATAPENDUDUK!A277="","",DATAPENDUDUK!A277)</f>
        <v/>
      </c>
      <c r="B277" s="13" t="str">
        <f>IF(DATAPENDUDUK!B277="","",DATAPENDUDUK!B277)</f>
        <v/>
      </c>
      <c r="C277" s="10" t="str">
        <f>IF(DATAPENDUDUK!C277="","",DATAPENDUDUK!C277)</f>
        <v/>
      </c>
      <c r="D277" s="10" t="str">
        <f>IF(DATAPENDUDUK!E277="","",DATAPENDUDUK!E277)</f>
        <v/>
      </c>
      <c r="E277" s="10" t="str">
        <f>IF(DATAPENDUDUK!F277="","",DATAPENDUDUK!F277)</f>
        <v/>
      </c>
      <c r="F277" s="11" t="str">
        <f>IF(DATAPENDUDUK!H277="","",DATAPENDUDUK!H277)</f>
        <v/>
      </c>
      <c r="G277" s="10" t="str">
        <f t="shared" ca="1" si="8"/>
        <v/>
      </c>
      <c r="H277" t="str">
        <f t="shared" ca="1" si="9"/>
        <v/>
      </c>
    </row>
    <row r="278" spans="1:8" x14ac:dyDescent="0.25">
      <c r="A278" s="10" t="str">
        <f>IF(DATAPENDUDUK!A278="","",DATAPENDUDUK!A278)</f>
        <v/>
      </c>
      <c r="B278" s="13" t="str">
        <f>IF(DATAPENDUDUK!B278="","",DATAPENDUDUK!B278)</f>
        <v/>
      </c>
      <c r="C278" s="10" t="str">
        <f>IF(DATAPENDUDUK!C278="","",DATAPENDUDUK!C278)</f>
        <v/>
      </c>
      <c r="D278" s="10" t="str">
        <f>IF(DATAPENDUDUK!E278="","",DATAPENDUDUK!E278)</f>
        <v/>
      </c>
      <c r="E278" s="10" t="str">
        <f>IF(DATAPENDUDUK!F278="","",DATAPENDUDUK!F278)</f>
        <v/>
      </c>
      <c r="F278" s="11" t="str">
        <f>IF(DATAPENDUDUK!H278="","",DATAPENDUDUK!H278)</f>
        <v/>
      </c>
      <c r="G278" s="10" t="str">
        <f t="shared" ca="1" si="8"/>
        <v/>
      </c>
      <c r="H278" t="str">
        <f t="shared" ca="1" si="9"/>
        <v/>
      </c>
    </row>
    <row r="279" spans="1:8" x14ac:dyDescent="0.25">
      <c r="A279" s="10" t="str">
        <f>IF(DATAPENDUDUK!A279="","",DATAPENDUDUK!A279)</f>
        <v/>
      </c>
      <c r="B279" s="13" t="str">
        <f>IF(DATAPENDUDUK!B279="","",DATAPENDUDUK!B279)</f>
        <v/>
      </c>
      <c r="C279" s="10" t="str">
        <f>IF(DATAPENDUDUK!C279="","",DATAPENDUDUK!C279)</f>
        <v/>
      </c>
      <c r="D279" s="10" t="str">
        <f>IF(DATAPENDUDUK!E279="","",DATAPENDUDUK!E279)</f>
        <v/>
      </c>
      <c r="E279" s="10" t="str">
        <f>IF(DATAPENDUDUK!F279="","",DATAPENDUDUK!F279)</f>
        <v/>
      </c>
      <c r="F279" s="11" t="str">
        <f>IF(DATAPENDUDUK!H279="","",DATAPENDUDUK!H279)</f>
        <v/>
      </c>
      <c r="G279" s="10" t="str">
        <f t="shared" ca="1" si="8"/>
        <v/>
      </c>
      <c r="H279" t="str">
        <f t="shared" ca="1" si="9"/>
        <v/>
      </c>
    </row>
    <row r="280" spans="1:8" x14ac:dyDescent="0.25">
      <c r="A280" s="10" t="str">
        <f>IF(DATAPENDUDUK!A280="","",DATAPENDUDUK!A280)</f>
        <v/>
      </c>
      <c r="B280" s="13" t="str">
        <f>IF(DATAPENDUDUK!B280="","",DATAPENDUDUK!B280)</f>
        <v/>
      </c>
      <c r="C280" s="10" t="str">
        <f>IF(DATAPENDUDUK!C280="","",DATAPENDUDUK!C280)</f>
        <v/>
      </c>
      <c r="D280" s="10" t="str">
        <f>IF(DATAPENDUDUK!E280="","",DATAPENDUDUK!E280)</f>
        <v/>
      </c>
      <c r="E280" s="10" t="str">
        <f>IF(DATAPENDUDUK!F280="","",DATAPENDUDUK!F280)</f>
        <v/>
      </c>
      <c r="F280" s="11" t="str">
        <f>IF(DATAPENDUDUK!H280="","",DATAPENDUDUK!H280)</f>
        <v/>
      </c>
      <c r="G280" s="10" t="str">
        <f t="shared" ca="1" si="8"/>
        <v/>
      </c>
      <c r="H280" t="str">
        <f t="shared" ca="1" si="9"/>
        <v/>
      </c>
    </row>
    <row r="281" spans="1:8" x14ac:dyDescent="0.25">
      <c r="A281" s="10" t="str">
        <f>IF(DATAPENDUDUK!A281="","",DATAPENDUDUK!A281)</f>
        <v/>
      </c>
      <c r="B281" s="13" t="str">
        <f>IF(DATAPENDUDUK!B281="","",DATAPENDUDUK!B281)</f>
        <v/>
      </c>
      <c r="C281" s="10" t="str">
        <f>IF(DATAPENDUDUK!C281="","",DATAPENDUDUK!C281)</f>
        <v/>
      </c>
      <c r="D281" s="10" t="str">
        <f>IF(DATAPENDUDUK!E281="","",DATAPENDUDUK!E281)</f>
        <v/>
      </c>
      <c r="E281" s="10" t="str">
        <f>IF(DATAPENDUDUK!F281="","",DATAPENDUDUK!F281)</f>
        <v/>
      </c>
      <c r="F281" s="11" t="str">
        <f>IF(DATAPENDUDUK!H281="","",DATAPENDUDUK!H281)</f>
        <v/>
      </c>
      <c r="G281" s="10" t="str">
        <f t="shared" ca="1" si="8"/>
        <v/>
      </c>
      <c r="H281" t="str">
        <f t="shared" ca="1" si="9"/>
        <v/>
      </c>
    </row>
    <row r="282" spans="1:8" x14ac:dyDescent="0.25">
      <c r="A282" s="10" t="str">
        <f>IF(DATAPENDUDUK!A282="","",DATAPENDUDUK!A282)</f>
        <v/>
      </c>
      <c r="B282" s="13" t="str">
        <f>IF(DATAPENDUDUK!B282="","",DATAPENDUDUK!B282)</f>
        <v/>
      </c>
      <c r="C282" s="10" t="str">
        <f>IF(DATAPENDUDUK!C282="","",DATAPENDUDUK!C282)</f>
        <v/>
      </c>
      <c r="D282" s="10" t="str">
        <f>IF(DATAPENDUDUK!E282="","",DATAPENDUDUK!E282)</f>
        <v/>
      </c>
      <c r="E282" s="10" t="str">
        <f>IF(DATAPENDUDUK!F282="","",DATAPENDUDUK!F282)</f>
        <v/>
      </c>
      <c r="F282" s="11" t="str">
        <f>IF(DATAPENDUDUK!H282="","",DATAPENDUDUK!H282)</f>
        <v/>
      </c>
      <c r="G282" s="10" t="str">
        <f t="shared" ca="1" si="8"/>
        <v/>
      </c>
      <c r="H282" t="str">
        <f t="shared" ca="1" si="9"/>
        <v/>
      </c>
    </row>
    <row r="283" spans="1:8" x14ac:dyDescent="0.25">
      <c r="A283" s="10" t="str">
        <f>IF(DATAPENDUDUK!A283="","",DATAPENDUDUK!A283)</f>
        <v/>
      </c>
      <c r="B283" s="13" t="str">
        <f>IF(DATAPENDUDUK!B283="","",DATAPENDUDUK!B283)</f>
        <v/>
      </c>
      <c r="C283" s="10" t="str">
        <f>IF(DATAPENDUDUK!C283="","",DATAPENDUDUK!C283)</f>
        <v/>
      </c>
      <c r="D283" s="10" t="str">
        <f>IF(DATAPENDUDUK!E283="","",DATAPENDUDUK!E283)</f>
        <v/>
      </c>
      <c r="E283" s="10" t="str">
        <f>IF(DATAPENDUDUK!F283="","",DATAPENDUDUK!F283)</f>
        <v/>
      </c>
      <c r="F283" s="11" t="str">
        <f>IF(DATAPENDUDUK!H283="","",DATAPENDUDUK!H283)</f>
        <v/>
      </c>
      <c r="G283" s="10" t="str">
        <f t="shared" ca="1" si="8"/>
        <v/>
      </c>
      <c r="H283" t="str">
        <f t="shared" ca="1" si="9"/>
        <v/>
      </c>
    </row>
    <row r="284" spans="1:8" x14ac:dyDescent="0.25">
      <c r="A284" s="10" t="str">
        <f>IF(DATAPENDUDUK!A284="","",DATAPENDUDUK!A284)</f>
        <v/>
      </c>
      <c r="B284" s="13" t="str">
        <f>IF(DATAPENDUDUK!B284="","",DATAPENDUDUK!B284)</f>
        <v/>
      </c>
      <c r="C284" s="10" t="str">
        <f>IF(DATAPENDUDUK!C284="","",DATAPENDUDUK!C284)</f>
        <v/>
      </c>
      <c r="D284" s="10" t="str">
        <f>IF(DATAPENDUDUK!E284="","",DATAPENDUDUK!E284)</f>
        <v/>
      </c>
      <c r="E284" s="10" t="str">
        <f>IF(DATAPENDUDUK!F284="","",DATAPENDUDUK!F284)</f>
        <v/>
      </c>
      <c r="F284" s="11" t="str">
        <f>IF(DATAPENDUDUK!H284="","",DATAPENDUDUK!H284)</f>
        <v/>
      </c>
      <c r="G284" s="10" t="str">
        <f t="shared" ca="1" si="8"/>
        <v/>
      </c>
      <c r="H284" t="str">
        <f t="shared" ca="1" si="9"/>
        <v/>
      </c>
    </row>
    <row r="285" spans="1:8" x14ac:dyDescent="0.25">
      <c r="A285" s="10" t="str">
        <f>IF(DATAPENDUDUK!A285="","",DATAPENDUDUK!A285)</f>
        <v/>
      </c>
      <c r="B285" s="13" t="str">
        <f>IF(DATAPENDUDUK!B285="","",DATAPENDUDUK!B285)</f>
        <v/>
      </c>
      <c r="C285" s="10" t="str">
        <f>IF(DATAPENDUDUK!C285="","",DATAPENDUDUK!C285)</f>
        <v/>
      </c>
      <c r="D285" s="10" t="str">
        <f>IF(DATAPENDUDUK!E285="","",DATAPENDUDUK!E285)</f>
        <v/>
      </c>
      <c r="E285" s="10" t="str">
        <f>IF(DATAPENDUDUK!F285="","",DATAPENDUDUK!F285)</f>
        <v/>
      </c>
      <c r="F285" s="11" t="str">
        <f>IF(DATAPENDUDUK!H285="","",DATAPENDUDUK!H285)</f>
        <v/>
      </c>
      <c r="G285" s="10" t="str">
        <f t="shared" ca="1" si="8"/>
        <v/>
      </c>
      <c r="H285" t="str">
        <f t="shared" ca="1" si="9"/>
        <v/>
      </c>
    </row>
    <row r="286" spans="1:8" x14ac:dyDescent="0.25">
      <c r="A286" s="10" t="str">
        <f>IF(DATAPENDUDUK!A286="","",DATAPENDUDUK!A286)</f>
        <v/>
      </c>
      <c r="B286" s="13" t="str">
        <f>IF(DATAPENDUDUK!B286="","",DATAPENDUDUK!B286)</f>
        <v/>
      </c>
      <c r="C286" s="10" t="str">
        <f>IF(DATAPENDUDUK!C286="","",DATAPENDUDUK!C286)</f>
        <v/>
      </c>
      <c r="D286" s="10" t="str">
        <f>IF(DATAPENDUDUK!E286="","",DATAPENDUDUK!E286)</f>
        <v/>
      </c>
      <c r="E286" s="10" t="str">
        <f>IF(DATAPENDUDUK!F286="","",DATAPENDUDUK!F286)</f>
        <v/>
      </c>
      <c r="F286" s="11" t="str">
        <f>IF(DATAPENDUDUK!H286="","",DATAPENDUDUK!H286)</f>
        <v/>
      </c>
      <c r="G286" s="10" t="str">
        <f t="shared" ca="1" si="8"/>
        <v/>
      </c>
      <c r="H286" t="str">
        <f t="shared" ca="1" si="9"/>
        <v/>
      </c>
    </row>
    <row r="287" spans="1:8" x14ac:dyDescent="0.25">
      <c r="A287" s="10" t="str">
        <f>IF(DATAPENDUDUK!A287="","",DATAPENDUDUK!A287)</f>
        <v/>
      </c>
      <c r="B287" s="13" t="str">
        <f>IF(DATAPENDUDUK!B287="","",DATAPENDUDUK!B287)</f>
        <v/>
      </c>
      <c r="C287" s="10" t="str">
        <f>IF(DATAPENDUDUK!C287="","",DATAPENDUDUK!C287)</f>
        <v/>
      </c>
      <c r="D287" s="10" t="str">
        <f>IF(DATAPENDUDUK!E287="","",DATAPENDUDUK!E287)</f>
        <v/>
      </c>
      <c r="E287" s="10" t="str">
        <f>IF(DATAPENDUDUK!F287="","",DATAPENDUDUK!F287)</f>
        <v/>
      </c>
      <c r="F287" s="11" t="str">
        <f>IF(DATAPENDUDUK!H287="","",DATAPENDUDUK!H287)</f>
        <v/>
      </c>
      <c r="G287" s="10" t="str">
        <f t="shared" ca="1" si="8"/>
        <v/>
      </c>
      <c r="H287" t="str">
        <f t="shared" ca="1" si="9"/>
        <v/>
      </c>
    </row>
    <row r="288" spans="1:8" x14ac:dyDescent="0.25">
      <c r="A288" s="10" t="str">
        <f>IF(DATAPENDUDUK!A288="","",DATAPENDUDUK!A288)</f>
        <v/>
      </c>
      <c r="B288" s="13" t="str">
        <f>IF(DATAPENDUDUK!B288="","",DATAPENDUDUK!B288)</f>
        <v/>
      </c>
      <c r="C288" s="10" t="str">
        <f>IF(DATAPENDUDUK!C288="","",DATAPENDUDUK!C288)</f>
        <v/>
      </c>
      <c r="D288" s="10" t="str">
        <f>IF(DATAPENDUDUK!E288="","",DATAPENDUDUK!E288)</f>
        <v/>
      </c>
      <c r="E288" s="10" t="str">
        <f>IF(DATAPENDUDUK!F288="","",DATAPENDUDUK!F288)</f>
        <v/>
      </c>
      <c r="F288" s="11" t="str">
        <f>IF(DATAPENDUDUK!H288="","",DATAPENDUDUK!H288)</f>
        <v/>
      </c>
      <c r="G288" s="10" t="str">
        <f t="shared" ca="1" si="8"/>
        <v/>
      </c>
      <c r="H288" t="str">
        <f t="shared" ca="1" si="9"/>
        <v/>
      </c>
    </row>
    <row r="289" spans="1:8" x14ac:dyDescent="0.25">
      <c r="A289" s="10" t="str">
        <f>IF(DATAPENDUDUK!A289="","",DATAPENDUDUK!A289)</f>
        <v/>
      </c>
      <c r="B289" s="13" t="str">
        <f>IF(DATAPENDUDUK!B289="","",DATAPENDUDUK!B289)</f>
        <v/>
      </c>
      <c r="C289" s="10" t="str">
        <f>IF(DATAPENDUDUK!C289="","",DATAPENDUDUK!C289)</f>
        <v/>
      </c>
      <c r="D289" s="10" t="str">
        <f>IF(DATAPENDUDUK!E289="","",DATAPENDUDUK!E289)</f>
        <v/>
      </c>
      <c r="E289" s="10" t="str">
        <f>IF(DATAPENDUDUK!F289="","",DATAPENDUDUK!F289)</f>
        <v/>
      </c>
      <c r="F289" s="11" t="str">
        <f>IF(DATAPENDUDUK!H289="","",DATAPENDUDUK!H289)</f>
        <v/>
      </c>
      <c r="G289" s="10" t="str">
        <f t="shared" ca="1" si="8"/>
        <v/>
      </c>
      <c r="H289" t="str">
        <f t="shared" ca="1" si="9"/>
        <v/>
      </c>
    </row>
    <row r="290" spans="1:8" x14ac:dyDescent="0.25">
      <c r="A290" s="10" t="str">
        <f>IF(DATAPENDUDUK!A290="","",DATAPENDUDUK!A290)</f>
        <v/>
      </c>
      <c r="B290" s="13" t="str">
        <f>IF(DATAPENDUDUK!B290="","",DATAPENDUDUK!B290)</f>
        <v/>
      </c>
      <c r="C290" s="10" t="str">
        <f>IF(DATAPENDUDUK!C290="","",DATAPENDUDUK!C290)</f>
        <v/>
      </c>
      <c r="D290" s="10" t="str">
        <f>IF(DATAPENDUDUK!E290="","",DATAPENDUDUK!E290)</f>
        <v/>
      </c>
      <c r="E290" s="10" t="str">
        <f>IF(DATAPENDUDUK!F290="","",DATAPENDUDUK!F290)</f>
        <v/>
      </c>
      <c r="F290" s="11" t="str">
        <f>IF(DATAPENDUDUK!H290="","",DATAPENDUDUK!H290)</f>
        <v/>
      </c>
      <c r="G290" s="10" t="str">
        <f t="shared" ca="1" si="8"/>
        <v/>
      </c>
      <c r="H290" t="str">
        <f t="shared" ca="1" si="9"/>
        <v/>
      </c>
    </row>
    <row r="291" spans="1:8" x14ac:dyDescent="0.25">
      <c r="A291" s="10" t="str">
        <f>IF(DATAPENDUDUK!A291="","",DATAPENDUDUK!A291)</f>
        <v/>
      </c>
      <c r="B291" s="13" t="str">
        <f>IF(DATAPENDUDUK!B291="","",DATAPENDUDUK!B291)</f>
        <v/>
      </c>
      <c r="C291" s="10" t="str">
        <f>IF(DATAPENDUDUK!C291="","",DATAPENDUDUK!C291)</f>
        <v/>
      </c>
      <c r="D291" s="10" t="str">
        <f>IF(DATAPENDUDUK!E291="","",DATAPENDUDUK!E291)</f>
        <v/>
      </c>
      <c r="E291" s="10" t="str">
        <f>IF(DATAPENDUDUK!F291="","",DATAPENDUDUK!F291)</f>
        <v/>
      </c>
      <c r="F291" s="11" t="str">
        <f>IF(DATAPENDUDUK!H291="","",DATAPENDUDUK!H291)</f>
        <v/>
      </c>
      <c r="G291" s="10" t="str">
        <f t="shared" ca="1" si="8"/>
        <v/>
      </c>
      <c r="H291" t="str">
        <f t="shared" ca="1" si="9"/>
        <v/>
      </c>
    </row>
    <row r="292" spans="1:8" x14ac:dyDescent="0.25">
      <c r="A292" s="10" t="str">
        <f>IF(DATAPENDUDUK!A292="","",DATAPENDUDUK!A292)</f>
        <v/>
      </c>
      <c r="B292" s="13" t="str">
        <f>IF(DATAPENDUDUK!B292="","",DATAPENDUDUK!B292)</f>
        <v/>
      </c>
      <c r="C292" s="10" t="str">
        <f>IF(DATAPENDUDUK!C292="","",DATAPENDUDUK!C292)</f>
        <v/>
      </c>
      <c r="D292" s="10" t="str">
        <f>IF(DATAPENDUDUK!E292="","",DATAPENDUDUK!E292)</f>
        <v/>
      </c>
      <c r="E292" s="10" t="str">
        <f>IF(DATAPENDUDUK!F292="","",DATAPENDUDUK!F292)</f>
        <v/>
      </c>
      <c r="F292" s="11" t="str">
        <f>IF(DATAPENDUDUK!H292="","",DATAPENDUDUK!H292)</f>
        <v/>
      </c>
      <c r="G292" s="10" t="str">
        <f t="shared" ca="1" si="8"/>
        <v/>
      </c>
      <c r="H292" t="str">
        <f t="shared" ca="1" si="9"/>
        <v/>
      </c>
    </row>
    <row r="293" spans="1:8" x14ac:dyDescent="0.25">
      <c r="A293" s="10" t="str">
        <f>IF(DATAPENDUDUK!A293="","",DATAPENDUDUK!A293)</f>
        <v/>
      </c>
      <c r="B293" s="13" t="str">
        <f>IF(DATAPENDUDUK!B293="","",DATAPENDUDUK!B293)</f>
        <v/>
      </c>
      <c r="C293" s="10" t="str">
        <f>IF(DATAPENDUDUK!C293="","",DATAPENDUDUK!C293)</f>
        <v/>
      </c>
      <c r="D293" s="10" t="str">
        <f>IF(DATAPENDUDUK!E293="","",DATAPENDUDUK!E293)</f>
        <v/>
      </c>
      <c r="E293" s="10" t="str">
        <f>IF(DATAPENDUDUK!F293="","",DATAPENDUDUK!F293)</f>
        <v/>
      </c>
      <c r="F293" s="11" t="str">
        <f>IF(DATAPENDUDUK!H293="","",DATAPENDUDUK!H293)</f>
        <v/>
      </c>
      <c r="G293" s="10" t="str">
        <f t="shared" ca="1" si="8"/>
        <v/>
      </c>
      <c r="H293" t="str">
        <f t="shared" ca="1" si="9"/>
        <v/>
      </c>
    </row>
    <row r="294" spans="1:8" x14ac:dyDescent="0.25">
      <c r="A294" s="10" t="str">
        <f>IF(DATAPENDUDUK!A294="","",DATAPENDUDUK!A294)</f>
        <v/>
      </c>
      <c r="B294" s="13" t="str">
        <f>IF(DATAPENDUDUK!B294="","",DATAPENDUDUK!B294)</f>
        <v/>
      </c>
      <c r="C294" s="10" t="str">
        <f>IF(DATAPENDUDUK!C294="","",DATAPENDUDUK!C294)</f>
        <v/>
      </c>
      <c r="D294" s="10" t="str">
        <f>IF(DATAPENDUDUK!E294="","",DATAPENDUDUK!E294)</f>
        <v/>
      </c>
      <c r="E294" s="10" t="str">
        <f>IF(DATAPENDUDUK!F294="","",DATAPENDUDUK!F294)</f>
        <v/>
      </c>
      <c r="F294" s="11" t="str">
        <f>IF(DATAPENDUDUK!H294="","",DATAPENDUDUK!H294)</f>
        <v/>
      </c>
      <c r="G294" s="10" t="str">
        <f t="shared" ca="1" si="8"/>
        <v/>
      </c>
      <c r="H294" t="str">
        <f t="shared" ca="1" si="9"/>
        <v/>
      </c>
    </row>
    <row r="295" spans="1:8" x14ac:dyDescent="0.25">
      <c r="A295" s="10" t="str">
        <f>IF(DATAPENDUDUK!A295="","",DATAPENDUDUK!A295)</f>
        <v/>
      </c>
      <c r="B295" s="13" t="str">
        <f>IF(DATAPENDUDUK!B295="","",DATAPENDUDUK!B295)</f>
        <v/>
      </c>
      <c r="C295" s="10" t="str">
        <f>IF(DATAPENDUDUK!C295="","",DATAPENDUDUK!C295)</f>
        <v/>
      </c>
      <c r="D295" s="10" t="str">
        <f>IF(DATAPENDUDUK!E295="","",DATAPENDUDUK!E295)</f>
        <v/>
      </c>
      <c r="E295" s="10" t="str">
        <f>IF(DATAPENDUDUK!F295="","",DATAPENDUDUK!F295)</f>
        <v/>
      </c>
      <c r="F295" s="11" t="str">
        <f>IF(DATAPENDUDUK!H295="","",DATAPENDUDUK!H295)</f>
        <v/>
      </c>
      <c r="G295" s="10" t="str">
        <f t="shared" ca="1" si="8"/>
        <v/>
      </c>
      <c r="H295" t="str">
        <f t="shared" ca="1" si="9"/>
        <v/>
      </c>
    </row>
    <row r="296" spans="1:8" x14ac:dyDescent="0.25">
      <c r="A296" s="10" t="str">
        <f>IF(DATAPENDUDUK!A296="","",DATAPENDUDUK!A296)</f>
        <v/>
      </c>
      <c r="B296" s="13" t="str">
        <f>IF(DATAPENDUDUK!B296="","",DATAPENDUDUK!B296)</f>
        <v/>
      </c>
      <c r="C296" s="10" t="str">
        <f>IF(DATAPENDUDUK!C296="","",DATAPENDUDUK!C296)</f>
        <v/>
      </c>
      <c r="D296" s="10" t="str">
        <f>IF(DATAPENDUDUK!E296="","",DATAPENDUDUK!E296)</f>
        <v/>
      </c>
      <c r="E296" s="10" t="str">
        <f>IF(DATAPENDUDUK!F296="","",DATAPENDUDUK!F296)</f>
        <v/>
      </c>
      <c r="F296" s="11" t="str">
        <f>IF(DATAPENDUDUK!H296="","",DATAPENDUDUK!H296)</f>
        <v/>
      </c>
      <c r="G296" s="10" t="str">
        <f t="shared" ca="1" si="8"/>
        <v/>
      </c>
      <c r="H296" t="str">
        <f t="shared" ca="1" si="9"/>
        <v/>
      </c>
    </row>
    <row r="297" spans="1:8" x14ac:dyDescent="0.25">
      <c r="A297" s="10" t="str">
        <f>IF(DATAPENDUDUK!A297="","",DATAPENDUDUK!A297)</f>
        <v/>
      </c>
      <c r="B297" s="13" t="str">
        <f>IF(DATAPENDUDUK!B297="","",DATAPENDUDUK!B297)</f>
        <v/>
      </c>
      <c r="C297" s="10" t="str">
        <f>IF(DATAPENDUDUK!C297="","",DATAPENDUDUK!C297)</f>
        <v/>
      </c>
      <c r="D297" s="10" t="str">
        <f>IF(DATAPENDUDUK!E297="","",DATAPENDUDUK!E297)</f>
        <v/>
      </c>
      <c r="E297" s="10" t="str">
        <f>IF(DATAPENDUDUK!F297="","",DATAPENDUDUK!F297)</f>
        <v/>
      </c>
      <c r="F297" s="11" t="str">
        <f>IF(DATAPENDUDUK!H297="","",DATAPENDUDUK!H297)</f>
        <v/>
      </c>
      <c r="G297" s="10" t="str">
        <f t="shared" ca="1" si="8"/>
        <v/>
      </c>
      <c r="H297" t="str">
        <f t="shared" ca="1" si="9"/>
        <v/>
      </c>
    </row>
    <row r="298" spans="1:8" x14ac:dyDescent="0.25">
      <c r="A298" s="10" t="str">
        <f>IF(DATAPENDUDUK!A298="","",DATAPENDUDUK!A298)</f>
        <v/>
      </c>
      <c r="B298" s="13" t="str">
        <f>IF(DATAPENDUDUK!B298="","",DATAPENDUDUK!B298)</f>
        <v/>
      </c>
      <c r="C298" s="10" t="str">
        <f>IF(DATAPENDUDUK!C298="","",DATAPENDUDUK!C298)</f>
        <v/>
      </c>
      <c r="D298" s="10" t="str">
        <f>IF(DATAPENDUDUK!E298="","",DATAPENDUDUK!E298)</f>
        <v/>
      </c>
      <c r="E298" s="10" t="str">
        <f>IF(DATAPENDUDUK!F298="","",DATAPENDUDUK!F298)</f>
        <v/>
      </c>
      <c r="F298" s="11" t="str">
        <f>IF(DATAPENDUDUK!H298="","",DATAPENDUDUK!H298)</f>
        <v/>
      </c>
      <c r="G298" s="10" t="str">
        <f t="shared" ca="1" si="8"/>
        <v/>
      </c>
      <c r="H298" t="str">
        <f t="shared" ca="1" si="9"/>
        <v/>
      </c>
    </row>
    <row r="299" spans="1:8" x14ac:dyDescent="0.25">
      <c r="A299" s="10" t="str">
        <f>IF(DATAPENDUDUK!A299="","",DATAPENDUDUK!A299)</f>
        <v/>
      </c>
      <c r="B299" s="13" t="str">
        <f>IF(DATAPENDUDUK!B299="","",DATAPENDUDUK!B299)</f>
        <v/>
      </c>
      <c r="C299" s="10" t="str">
        <f>IF(DATAPENDUDUK!C299="","",DATAPENDUDUK!C299)</f>
        <v/>
      </c>
      <c r="D299" s="10" t="str">
        <f>IF(DATAPENDUDUK!E299="","",DATAPENDUDUK!E299)</f>
        <v/>
      </c>
      <c r="E299" s="10" t="str">
        <f>IF(DATAPENDUDUK!F299="","",DATAPENDUDUK!F299)</f>
        <v/>
      </c>
      <c r="F299" s="11" t="str">
        <f>IF(DATAPENDUDUK!H299="","",DATAPENDUDUK!H299)</f>
        <v/>
      </c>
      <c r="G299" s="10" t="str">
        <f t="shared" ca="1" si="8"/>
        <v/>
      </c>
      <c r="H299" t="str">
        <f t="shared" ca="1" si="9"/>
        <v/>
      </c>
    </row>
    <row r="300" spans="1:8" x14ac:dyDescent="0.25">
      <c r="A300" s="10" t="str">
        <f>IF(DATAPENDUDUK!A300="","",DATAPENDUDUK!A300)</f>
        <v/>
      </c>
      <c r="B300" s="13" t="str">
        <f>IF(DATAPENDUDUK!B300="","",DATAPENDUDUK!B300)</f>
        <v/>
      </c>
      <c r="C300" s="10" t="str">
        <f>IF(DATAPENDUDUK!C300="","",DATAPENDUDUK!C300)</f>
        <v/>
      </c>
      <c r="D300" s="10" t="str">
        <f>IF(DATAPENDUDUK!E300="","",DATAPENDUDUK!E300)</f>
        <v/>
      </c>
      <c r="E300" s="10" t="str">
        <f>IF(DATAPENDUDUK!F300="","",DATAPENDUDUK!F300)</f>
        <v/>
      </c>
      <c r="F300" s="11" t="str">
        <f>IF(DATAPENDUDUK!H300="","",DATAPENDUDUK!H300)</f>
        <v/>
      </c>
      <c r="G300" s="10" t="str">
        <f t="shared" ca="1" si="8"/>
        <v/>
      </c>
      <c r="H300" t="str">
        <f t="shared" ca="1" si="9"/>
        <v/>
      </c>
    </row>
    <row r="301" spans="1:8" x14ac:dyDescent="0.25">
      <c r="A301" s="10" t="str">
        <f>IF(DATAPENDUDUK!A301="","",DATAPENDUDUK!A301)</f>
        <v/>
      </c>
      <c r="B301" s="13" t="str">
        <f>IF(DATAPENDUDUK!B301="","",DATAPENDUDUK!B301)</f>
        <v/>
      </c>
      <c r="C301" s="10" t="str">
        <f>IF(DATAPENDUDUK!C301="","",DATAPENDUDUK!C301)</f>
        <v/>
      </c>
      <c r="D301" s="10" t="str">
        <f>IF(DATAPENDUDUK!E301="","",DATAPENDUDUK!E301)</f>
        <v/>
      </c>
      <c r="E301" s="10" t="str">
        <f>IF(DATAPENDUDUK!F301="","",DATAPENDUDUK!F301)</f>
        <v/>
      </c>
      <c r="F301" s="11" t="str">
        <f>IF(DATAPENDUDUK!H301="","",DATAPENDUDUK!H301)</f>
        <v/>
      </c>
      <c r="G301" s="10" t="str">
        <f t="shared" ca="1" si="8"/>
        <v/>
      </c>
      <c r="H301" t="str">
        <f t="shared" ca="1" si="9"/>
        <v/>
      </c>
    </row>
    <row r="302" spans="1:8" x14ac:dyDescent="0.25">
      <c r="A302" s="10" t="str">
        <f>IF(DATAPENDUDUK!A302="","",DATAPENDUDUK!A302)</f>
        <v/>
      </c>
      <c r="B302" s="13" t="str">
        <f>IF(DATAPENDUDUK!B302="","",DATAPENDUDUK!B302)</f>
        <v/>
      </c>
      <c r="C302" s="10" t="str">
        <f>IF(DATAPENDUDUK!C302="","",DATAPENDUDUK!C302)</f>
        <v/>
      </c>
      <c r="D302" s="10" t="str">
        <f>IF(DATAPENDUDUK!E302="","",DATAPENDUDUK!E302)</f>
        <v/>
      </c>
      <c r="E302" s="10" t="str">
        <f>IF(DATAPENDUDUK!F302="","",DATAPENDUDUK!F302)</f>
        <v/>
      </c>
      <c r="F302" s="11" t="str">
        <f>IF(DATAPENDUDUK!H302="","",DATAPENDUDUK!H302)</f>
        <v/>
      </c>
      <c r="G302" s="10" t="str">
        <f t="shared" ca="1" si="8"/>
        <v/>
      </c>
      <c r="H302" t="str">
        <f t="shared" ca="1" si="9"/>
        <v/>
      </c>
    </row>
    <row r="303" spans="1:8" x14ac:dyDescent="0.25">
      <c r="A303" s="10" t="str">
        <f>IF(DATAPENDUDUK!A303="","",DATAPENDUDUK!A303)</f>
        <v/>
      </c>
      <c r="B303" s="13" t="str">
        <f>IF(DATAPENDUDUK!B303="","",DATAPENDUDUK!B303)</f>
        <v/>
      </c>
      <c r="C303" s="10" t="str">
        <f>IF(DATAPENDUDUK!C303="","",DATAPENDUDUK!C303)</f>
        <v/>
      </c>
      <c r="D303" s="10" t="str">
        <f>IF(DATAPENDUDUK!E303="","",DATAPENDUDUK!E303)</f>
        <v/>
      </c>
      <c r="E303" s="10" t="str">
        <f>IF(DATAPENDUDUK!F303="","",DATAPENDUDUK!F303)</f>
        <v/>
      </c>
      <c r="F303" s="11" t="str">
        <f>IF(DATAPENDUDUK!H303="","",DATAPENDUDUK!H303)</f>
        <v/>
      </c>
      <c r="G303" s="10" t="str">
        <f t="shared" ca="1" si="8"/>
        <v/>
      </c>
      <c r="H303" t="str">
        <f t="shared" ca="1" si="9"/>
        <v/>
      </c>
    </row>
    <row r="304" spans="1:8" x14ac:dyDescent="0.25">
      <c r="A304" s="10" t="str">
        <f>IF(DATAPENDUDUK!A304="","",DATAPENDUDUK!A304)</f>
        <v/>
      </c>
      <c r="B304" s="13" t="str">
        <f>IF(DATAPENDUDUK!B304="","",DATAPENDUDUK!B304)</f>
        <v/>
      </c>
      <c r="C304" s="10" t="str">
        <f>IF(DATAPENDUDUK!C304="","",DATAPENDUDUK!C304)</f>
        <v/>
      </c>
      <c r="D304" s="10" t="str">
        <f>IF(DATAPENDUDUK!E304="","",DATAPENDUDUK!E304)</f>
        <v/>
      </c>
      <c r="E304" s="10" t="str">
        <f>IF(DATAPENDUDUK!F304="","",DATAPENDUDUK!F304)</f>
        <v/>
      </c>
      <c r="F304" s="11" t="str">
        <f>IF(DATAPENDUDUK!H304="","",DATAPENDUDUK!H304)</f>
        <v/>
      </c>
      <c r="G304" s="10" t="str">
        <f t="shared" ca="1" si="8"/>
        <v/>
      </c>
      <c r="H304" t="str">
        <f t="shared" ca="1" si="9"/>
        <v/>
      </c>
    </row>
    <row r="305" spans="1:8" x14ac:dyDescent="0.25">
      <c r="A305" s="10" t="str">
        <f>IF(DATAPENDUDUK!A305="","",DATAPENDUDUK!A305)</f>
        <v/>
      </c>
      <c r="B305" s="13" t="str">
        <f>IF(DATAPENDUDUK!B305="","",DATAPENDUDUK!B305)</f>
        <v/>
      </c>
      <c r="C305" s="10" t="str">
        <f>IF(DATAPENDUDUK!C305="","",DATAPENDUDUK!C305)</f>
        <v/>
      </c>
      <c r="D305" s="10" t="str">
        <f>IF(DATAPENDUDUK!E305="","",DATAPENDUDUK!E305)</f>
        <v/>
      </c>
      <c r="E305" s="10" t="str">
        <f>IF(DATAPENDUDUK!F305="","",DATAPENDUDUK!F305)</f>
        <v/>
      </c>
      <c r="F305" s="11" t="str">
        <f>IF(DATAPENDUDUK!H305="","",DATAPENDUDUK!H305)</f>
        <v/>
      </c>
      <c r="G305" s="10" t="str">
        <f t="shared" ca="1" si="8"/>
        <v/>
      </c>
      <c r="H305" t="str">
        <f t="shared" ca="1" si="9"/>
        <v/>
      </c>
    </row>
    <row r="306" spans="1:8" x14ac:dyDescent="0.25">
      <c r="A306" s="10" t="str">
        <f>IF(DATAPENDUDUK!A306="","",DATAPENDUDUK!A306)</f>
        <v/>
      </c>
      <c r="B306" s="13" t="str">
        <f>IF(DATAPENDUDUK!B306="","",DATAPENDUDUK!B306)</f>
        <v/>
      </c>
      <c r="C306" s="10" t="str">
        <f>IF(DATAPENDUDUK!C306="","",DATAPENDUDUK!C306)</f>
        <v/>
      </c>
      <c r="D306" s="10" t="str">
        <f>IF(DATAPENDUDUK!E306="","",DATAPENDUDUK!E306)</f>
        <v/>
      </c>
      <c r="E306" s="10" t="str">
        <f>IF(DATAPENDUDUK!F306="","",DATAPENDUDUK!F306)</f>
        <v/>
      </c>
      <c r="F306" s="11" t="str">
        <f>IF(DATAPENDUDUK!H306="","",DATAPENDUDUK!H306)</f>
        <v/>
      </c>
      <c r="G306" s="10" t="str">
        <f t="shared" ca="1" si="8"/>
        <v/>
      </c>
      <c r="H306" t="str">
        <f t="shared" ca="1" si="9"/>
        <v/>
      </c>
    </row>
    <row r="307" spans="1:8" x14ac:dyDescent="0.25">
      <c r="A307" s="10" t="str">
        <f>IF(DATAPENDUDUK!A307="","",DATAPENDUDUK!A307)</f>
        <v/>
      </c>
      <c r="B307" s="13" t="str">
        <f>IF(DATAPENDUDUK!B307="","",DATAPENDUDUK!B307)</f>
        <v/>
      </c>
      <c r="C307" s="10" t="str">
        <f>IF(DATAPENDUDUK!C307="","",DATAPENDUDUK!C307)</f>
        <v/>
      </c>
      <c r="D307" s="10" t="str">
        <f>IF(DATAPENDUDUK!E307="","",DATAPENDUDUK!E307)</f>
        <v/>
      </c>
      <c r="E307" s="10" t="str">
        <f>IF(DATAPENDUDUK!F307="","",DATAPENDUDUK!F307)</f>
        <v/>
      </c>
      <c r="F307" s="11" t="str">
        <f>IF(DATAPENDUDUK!H307="","",DATAPENDUDUK!H307)</f>
        <v/>
      </c>
      <c r="G307" s="10" t="str">
        <f t="shared" ca="1" si="8"/>
        <v/>
      </c>
      <c r="H307" t="str">
        <f t="shared" ca="1" si="9"/>
        <v/>
      </c>
    </row>
    <row r="308" spans="1:8" x14ac:dyDescent="0.25">
      <c r="A308" s="10" t="str">
        <f>IF(DATAPENDUDUK!A308="","",DATAPENDUDUK!A308)</f>
        <v/>
      </c>
      <c r="B308" s="13" t="str">
        <f>IF(DATAPENDUDUK!B308="","",DATAPENDUDUK!B308)</f>
        <v/>
      </c>
      <c r="C308" s="10" t="str">
        <f>IF(DATAPENDUDUK!C308="","",DATAPENDUDUK!C308)</f>
        <v/>
      </c>
      <c r="D308" s="10" t="str">
        <f>IF(DATAPENDUDUK!E308="","",DATAPENDUDUK!E308)</f>
        <v/>
      </c>
      <c r="E308" s="10" t="str">
        <f>IF(DATAPENDUDUK!F308="","",DATAPENDUDUK!F308)</f>
        <v/>
      </c>
      <c r="F308" s="11" t="str">
        <f>IF(DATAPENDUDUK!H308="","",DATAPENDUDUK!H308)</f>
        <v/>
      </c>
      <c r="G308" s="10" t="str">
        <f t="shared" ca="1" si="8"/>
        <v/>
      </c>
      <c r="H308" t="str">
        <f t="shared" ca="1" si="9"/>
        <v/>
      </c>
    </row>
    <row r="309" spans="1:8" x14ac:dyDescent="0.25">
      <c r="A309" s="10" t="str">
        <f>IF(DATAPENDUDUK!A309="","",DATAPENDUDUK!A309)</f>
        <v/>
      </c>
      <c r="B309" s="13" t="str">
        <f>IF(DATAPENDUDUK!B309="","",DATAPENDUDUK!B309)</f>
        <v/>
      </c>
      <c r="C309" s="10" t="str">
        <f>IF(DATAPENDUDUK!C309="","",DATAPENDUDUK!C309)</f>
        <v/>
      </c>
      <c r="D309" s="10" t="str">
        <f>IF(DATAPENDUDUK!E309="","",DATAPENDUDUK!E309)</f>
        <v/>
      </c>
      <c r="E309" s="10" t="str">
        <f>IF(DATAPENDUDUK!F309="","",DATAPENDUDUK!F309)</f>
        <v/>
      </c>
      <c r="F309" s="11" t="str">
        <f>IF(DATAPENDUDUK!H309="","",DATAPENDUDUK!H309)</f>
        <v/>
      </c>
      <c r="G309" s="10" t="str">
        <f t="shared" ca="1" si="8"/>
        <v/>
      </c>
      <c r="H309" t="str">
        <f t="shared" ca="1" si="9"/>
        <v/>
      </c>
    </row>
    <row r="310" spans="1:8" x14ac:dyDescent="0.25">
      <c r="A310" s="10" t="str">
        <f>IF(DATAPENDUDUK!A310="","",DATAPENDUDUK!A310)</f>
        <v/>
      </c>
      <c r="B310" s="13" t="str">
        <f>IF(DATAPENDUDUK!B310="","",DATAPENDUDUK!B310)</f>
        <v/>
      </c>
      <c r="C310" s="10" t="str">
        <f>IF(DATAPENDUDUK!C310="","",DATAPENDUDUK!C310)</f>
        <v/>
      </c>
      <c r="D310" s="10" t="str">
        <f>IF(DATAPENDUDUK!E310="","",DATAPENDUDUK!E310)</f>
        <v/>
      </c>
      <c r="E310" s="10" t="str">
        <f>IF(DATAPENDUDUK!F310="","",DATAPENDUDUK!F310)</f>
        <v/>
      </c>
      <c r="F310" s="11" t="str">
        <f>IF(DATAPENDUDUK!H310="","",DATAPENDUDUK!H310)</f>
        <v/>
      </c>
      <c r="G310" s="10" t="str">
        <f t="shared" ca="1" si="8"/>
        <v/>
      </c>
      <c r="H310" t="str">
        <f t="shared" ca="1" si="9"/>
        <v/>
      </c>
    </row>
    <row r="311" spans="1:8" x14ac:dyDescent="0.25">
      <c r="A311" s="10" t="str">
        <f>IF(DATAPENDUDUK!A311="","",DATAPENDUDUK!A311)</f>
        <v/>
      </c>
      <c r="B311" s="13" t="str">
        <f>IF(DATAPENDUDUK!B311="","",DATAPENDUDUK!B311)</f>
        <v/>
      </c>
      <c r="C311" s="10" t="str">
        <f>IF(DATAPENDUDUK!C311="","",DATAPENDUDUK!C311)</f>
        <v/>
      </c>
      <c r="D311" s="10" t="str">
        <f>IF(DATAPENDUDUK!E311="","",DATAPENDUDUK!E311)</f>
        <v/>
      </c>
      <c r="E311" s="10" t="str">
        <f>IF(DATAPENDUDUK!F311="","",DATAPENDUDUK!F311)</f>
        <v/>
      </c>
      <c r="F311" s="11" t="str">
        <f>IF(DATAPENDUDUK!H311="","",DATAPENDUDUK!H311)</f>
        <v/>
      </c>
      <c r="G311" s="10" t="str">
        <f t="shared" ca="1" si="8"/>
        <v/>
      </c>
      <c r="H311" t="str">
        <f t="shared" ca="1" si="9"/>
        <v/>
      </c>
    </row>
    <row r="312" spans="1:8" x14ac:dyDescent="0.25">
      <c r="A312" s="10" t="str">
        <f>IF(DATAPENDUDUK!A312="","",DATAPENDUDUK!A312)</f>
        <v/>
      </c>
      <c r="B312" s="13" t="str">
        <f>IF(DATAPENDUDUK!B312="","",DATAPENDUDUK!B312)</f>
        <v/>
      </c>
      <c r="C312" s="10" t="str">
        <f>IF(DATAPENDUDUK!C312="","",DATAPENDUDUK!C312)</f>
        <v/>
      </c>
      <c r="D312" s="10" t="str">
        <f>IF(DATAPENDUDUK!E312="","",DATAPENDUDUK!E312)</f>
        <v/>
      </c>
      <c r="E312" s="10" t="str">
        <f>IF(DATAPENDUDUK!F312="","",DATAPENDUDUK!F312)</f>
        <v/>
      </c>
      <c r="F312" s="11" t="str">
        <f>IF(DATAPENDUDUK!H312="","",DATAPENDUDUK!H312)</f>
        <v/>
      </c>
      <c r="G312" s="10" t="str">
        <f t="shared" ca="1" si="8"/>
        <v/>
      </c>
      <c r="H312" t="str">
        <f t="shared" ca="1" si="9"/>
        <v/>
      </c>
    </row>
    <row r="313" spans="1:8" x14ac:dyDescent="0.25">
      <c r="A313" s="10" t="str">
        <f>IF(DATAPENDUDUK!A313="","",DATAPENDUDUK!A313)</f>
        <v/>
      </c>
      <c r="B313" s="13" t="str">
        <f>IF(DATAPENDUDUK!B313="","",DATAPENDUDUK!B313)</f>
        <v/>
      </c>
      <c r="C313" s="10" t="str">
        <f>IF(DATAPENDUDUK!C313="","",DATAPENDUDUK!C313)</f>
        <v/>
      </c>
      <c r="D313" s="10" t="str">
        <f>IF(DATAPENDUDUK!E313="","",DATAPENDUDUK!E313)</f>
        <v/>
      </c>
      <c r="E313" s="10" t="str">
        <f>IF(DATAPENDUDUK!F313="","",DATAPENDUDUK!F313)</f>
        <v/>
      </c>
      <c r="F313" s="11" t="str">
        <f>IF(DATAPENDUDUK!H313="","",DATAPENDUDUK!H313)</f>
        <v/>
      </c>
      <c r="G313" s="10" t="str">
        <f t="shared" ca="1" si="8"/>
        <v/>
      </c>
      <c r="H313" t="str">
        <f t="shared" ca="1" si="9"/>
        <v/>
      </c>
    </row>
    <row r="314" spans="1:8" x14ac:dyDescent="0.25">
      <c r="A314" s="10" t="str">
        <f>IF(DATAPENDUDUK!A314="","",DATAPENDUDUK!A314)</f>
        <v/>
      </c>
      <c r="B314" s="13" t="str">
        <f>IF(DATAPENDUDUK!B314="","",DATAPENDUDUK!B314)</f>
        <v/>
      </c>
      <c r="C314" s="10" t="str">
        <f>IF(DATAPENDUDUK!C314="","",DATAPENDUDUK!C314)</f>
        <v/>
      </c>
      <c r="D314" s="10" t="str">
        <f>IF(DATAPENDUDUK!E314="","",DATAPENDUDUK!E314)</f>
        <v/>
      </c>
      <c r="E314" s="10" t="str">
        <f>IF(DATAPENDUDUK!F314="","",DATAPENDUDUK!F314)</f>
        <v/>
      </c>
      <c r="F314" s="11" t="str">
        <f>IF(DATAPENDUDUK!H314="","",DATAPENDUDUK!H314)</f>
        <v/>
      </c>
      <c r="G314" s="10" t="str">
        <f t="shared" ca="1" si="8"/>
        <v/>
      </c>
      <c r="H314" t="str">
        <f t="shared" ca="1" si="9"/>
        <v/>
      </c>
    </row>
    <row r="315" spans="1:8" x14ac:dyDescent="0.25">
      <c r="A315" s="10" t="str">
        <f>IF(DATAPENDUDUK!A315="","",DATAPENDUDUK!A315)</f>
        <v/>
      </c>
      <c r="B315" s="13" t="str">
        <f>IF(DATAPENDUDUK!B315="","",DATAPENDUDUK!B315)</f>
        <v/>
      </c>
      <c r="C315" s="10" t="str">
        <f>IF(DATAPENDUDUK!C315="","",DATAPENDUDUK!C315)</f>
        <v/>
      </c>
      <c r="D315" s="10" t="str">
        <f>IF(DATAPENDUDUK!E315="","",DATAPENDUDUK!E315)</f>
        <v/>
      </c>
      <c r="E315" s="10" t="str">
        <f>IF(DATAPENDUDUK!F315="","",DATAPENDUDUK!F315)</f>
        <v/>
      </c>
      <c r="F315" s="11" t="str">
        <f>IF(DATAPENDUDUK!H315="","",DATAPENDUDUK!H315)</f>
        <v/>
      </c>
      <c r="G315" s="10" t="str">
        <f t="shared" ca="1" si="8"/>
        <v/>
      </c>
      <c r="H315" t="str">
        <f t="shared" ca="1" si="9"/>
        <v/>
      </c>
    </row>
    <row r="316" spans="1:8" x14ac:dyDescent="0.25">
      <c r="A316" s="10" t="str">
        <f>IF(DATAPENDUDUK!A316="","",DATAPENDUDUK!A316)</f>
        <v/>
      </c>
      <c r="B316" s="13" t="str">
        <f>IF(DATAPENDUDUK!B316="","",DATAPENDUDUK!B316)</f>
        <v/>
      </c>
      <c r="C316" s="10" t="str">
        <f>IF(DATAPENDUDUK!C316="","",DATAPENDUDUK!C316)</f>
        <v/>
      </c>
      <c r="D316" s="10" t="str">
        <f>IF(DATAPENDUDUK!E316="","",DATAPENDUDUK!E316)</f>
        <v/>
      </c>
      <c r="E316" s="10" t="str">
        <f>IF(DATAPENDUDUK!F316="","",DATAPENDUDUK!F316)</f>
        <v/>
      </c>
      <c r="F316" s="11" t="str">
        <f>IF(DATAPENDUDUK!H316="","",DATAPENDUDUK!H316)</f>
        <v/>
      </c>
      <c r="G316" s="10" t="str">
        <f t="shared" ca="1" si="8"/>
        <v/>
      </c>
      <c r="H316" t="str">
        <f t="shared" ca="1" si="9"/>
        <v/>
      </c>
    </row>
    <row r="317" spans="1:8" x14ac:dyDescent="0.25">
      <c r="A317" s="10" t="str">
        <f>IF(DATAPENDUDUK!A317="","",DATAPENDUDUK!A317)</f>
        <v/>
      </c>
      <c r="B317" s="13" t="str">
        <f>IF(DATAPENDUDUK!B317="","",DATAPENDUDUK!B317)</f>
        <v/>
      </c>
      <c r="C317" s="10" t="str">
        <f>IF(DATAPENDUDUK!C317="","",DATAPENDUDUK!C317)</f>
        <v/>
      </c>
      <c r="D317" s="10" t="str">
        <f>IF(DATAPENDUDUK!E317="","",DATAPENDUDUK!E317)</f>
        <v/>
      </c>
      <c r="E317" s="10" t="str">
        <f>IF(DATAPENDUDUK!F317="","",DATAPENDUDUK!F317)</f>
        <v/>
      </c>
      <c r="F317" s="11" t="str">
        <f>IF(DATAPENDUDUK!H317="","",DATAPENDUDUK!H317)</f>
        <v/>
      </c>
      <c r="G317" s="10" t="str">
        <f t="shared" ca="1" si="8"/>
        <v/>
      </c>
      <c r="H317" t="str">
        <f t="shared" ca="1" si="9"/>
        <v/>
      </c>
    </row>
    <row r="318" spans="1:8" x14ac:dyDescent="0.25">
      <c r="A318" s="10" t="str">
        <f>IF(DATAPENDUDUK!A318="","",DATAPENDUDUK!A318)</f>
        <v/>
      </c>
      <c r="B318" s="13" t="str">
        <f>IF(DATAPENDUDUK!B318="","",DATAPENDUDUK!B318)</f>
        <v/>
      </c>
      <c r="C318" s="10" t="str">
        <f>IF(DATAPENDUDUK!C318="","",DATAPENDUDUK!C318)</f>
        <v/>
      </c>
      <c r="D318" s="10" t="str">
        <f>IF(DATAPENDUDUK!E318="","",DATAPENDUDUK!E318)</f>
        <v/>
      </c>
      <c r="E318" s="10" t="str">
        <f>IF(DATAPENDUDUK!F318="","",DATAPENDUDUK!F318)</f>
        <v/>
      </c>
      <c r="F318" s="11" t="str">
        <f>IF(DATAPENDUDUK!H318="","",DATAPENDUDUK!H318)</f>
        <v/>
      </c>
      <c r="G318" s="10" t="str">
        <f t="shared" ca="1" si="8"/>
        <v/>
      </c>
      <c r="H318" t="str">
        <f t="shared" ca="1" si="9"/>
        <v/>
      </c>
    </row>
    <row r="319" spans="1:8" x14ac:dyDescent="0.25">
      <c r="A319" s="10" t="str">
        <f>IF(DATAPENDUDUK!A319="","",DATAPENDUDUK!A319)</f>
        <v/>
      </c>
      <c r="B319" s="13" t="str">
        <f>IF(DATAPENDUDUK!B319="","",DATAPENDUDUK!B319)</f>
        <v/>
      </c>
      <c r="C319" s="10" t="str">
        <f>IF(DATAPENDUDUK!C319="","",DATAPENDUDUK!C319)</f>
        <v/>
      </c>
      <c r="D319" s="10" t="str">
        <f>IF(DATAPENDUDUK!E319="","",DATAPENDUDUK!E319)</f>
        <v/>
      </c>
      <c r="E319" s="10" t="str">
        <f>IF(DATAPENDUDUK!F319="","",DATAPENDUDUK!F319)</f>
        <v/>
      </c>
      <c r="F319" s="11" t="str">
        <f>IF(DATAPENDUDUK!H319="","",DATAPENDUDUK!H319)</f>
        <v/>
      </c>
      <c r="G319" s="10" t="str">
        <f t="shared" ca="1" si="8"/>
        <v/>
      </c>
      <c r="H319" t="str">
        <f t="shared" ca="1" si="9"/>
        <v/>
      </c>
    </row>
    <row r="320" spans="1:8" x14ac:dyDescent="0.25">
      <c r="A320" s="10" t="str">
        <f>IF(DATAPENDUDUK!A320="","",DATAPENDUDUK!A320)</f>
        <v/>
      </c>
      <c r="B320" s="13" t="str">
        <f>IF(DATAPENDUDUK!B320="","",DATAPENDUDUK!B320)</f>
        <v/>
      </c>
      <c r="C320" s="10" t="str">
        <f>IF(DATAPENDUDUK!C320="","",DATAPENDUDUK!C320)</f>
        <v/>
      </c>
      <c r="D320" s="10" t="str">
        <f>IF(DATAPENDUDUK!E320="","",DATAPENDUDUK!E320)</f>
        <v/>
      </c>
      <c r="E320" s="10" t="str">
        <f>IF(DATAPENDUDUK!F320="","",DATAPENDUDUK!F320)</f>
        <v/>
      </c>
      <c r="F320" s="11" t="str">
        <f>IF(DATAPENDUDUK!H320="","",DATAPENDUDUK!H320)</f>
        <v/>
      </c>
      <c r="G320" s="10" t="str">
        <f t="shared" ca="1" si="8"/>
        <v/>
      </c>
      <c r="H320" t="str">
        <f t="shared" ca="1" si="9"/>
        <v/>
      </c>
    </row>
    <row r="321" spans="1:8" x14ac:dyDescent="0.25">
      <c r="A321" s="10" t="str">
        <f>IF(DATAPENDUDUK!A321="","",DATAPENDUDUK!A321)</f>
        <v/>
      </c>
      <c r="B321" s="13" t="str">
        <f>IF(DATAPENDUDUK!B321="","",DATAPENDUDUK!B321)</f>
        <v/>
      </c>
      <c r="C321" s="10" t="str">
        <f>IF(DATAPENDUDUK!C321="","",DATAPENDUDUK!C321)</f>
        <v/>
      </c>
      <c r="D321" s="10" t="str">
        <f>IF(DATAPENDUDUK!E321="","",DATAPENDUDUK!E321)</f>
        <v/>
      </c>
      <c r="E321" s="10" t="str">
        <f>IF(DATAPENDUDUK!F321="","",DATAPENDUDUK!F321)</f>
        <v/>
      </c>
      <c r="F321" s="11" t="str">
        <f>IF(DATAPENDUDUK!H321="","",DATAPENDUDUK!H321)</f>
        <v/>
      </c>
      <c r="G321" s="10" t="str">
        <f t="shared" ca="1" si="8"/>
        <v/>
      </c>
      <c r="H321" t="str">
        <f t="shared" ca="1" si="9"/>
        <v/>
      </c>
    </row>
    <row r="322" spans="1:8" x14ac:dyDescent="0.25">
      <c r="A322" s="10" t="str">
        <f>IF(DATAPENDUDUK!A322="","",DATAPENDUDUK!A322)</f>
        <v/>
      </c>
      <c r="B322" s="13" t="str">
        <f>IF(DATAPENDUDUK!B322="","",DATAPENDUDUK!B322)</f>
        <v/>
      </c>
      <c r="C322" s="10" t="str">
        <f>IF(DATAPENDUDUK!C322="","",DATAPENDUDUK!C322)</f>
        <v/>
      </c>
      <c r="D322" s="10" t="str">
        <f>IF(DATAPENDUDUK!E322="","",DATAPENDUDUK!E322)</f>
        <v/>
      </c>
      <c r="E322" s="10" t="str">
        <f>IF(DATAPENDUDUK!F322="","",DATAPENDUDUK!F322)</f>
        <v/>
      </c>
      <c r="F322" s="11" t="str">
        <f>IF(DATAPENDUDUK!H322="","",DATAPENDUDUK!H322)</f>
        <v/>
      </c>
      <c r="G322" s="10" t="str">
        <f t="shared" ca="1" si="8"/>
        <v/>
      </c>
      <c r="H322" t="str">
        <f t="shared" ca="1" si="9"/>
        <v/>
      </c>
    </row>
    <row r="323" spans="1:8" x14ac:dyDescent="0.25">
      <c r="A323" s="10" t="str">
        <f>IF(DATAPENDUDUK!A323="","",DATAPENDUDUK!A323)</f>
        <v/>
      </c>
      <c r="B323" s="13" t="str">
        <f>IF(DATAPENDUDUK!B323="","",DATAPENDUDUK!B323)</f>
        <v/>
      </c>
      <c r="C323" s="10" t="str">
        <f>IF(DATAPENDUDUK!C323="","",DATAPENDUDUK!C323)</f>
        <v/>
      </c>
      <c r="D323" s="10" t="str">
        <f>IF(DATAPENDUDUK!E323="","",DATAPENDUDUK!E323)</f>
        <v/>
      </c>
      <c r="E323" s="10" t="str">
        <f>IF(DATAPENDUDUK!F323="","",DATAPENDUDUK!F323)</f>
        <v/>
      </c>
      <c r="F323" s="11" t="str">
        <f>IF(DATAPENDUDUK!H323="","",DATAPENDUDUK!H323)</f>
        <v/>
      </c>
      <c r="G323" s="10" t="str">
        <f t="shared" ca="1" si="8"/>
        <v/>
      </c>
      <c r="H323" t="str">
        <f t="shared" ca="1" si="9"/>
        <v/>
      </c>
    </row>
    <row r="324" spans="1:8" x14ac:dyDescent="0.25">
      <c r="A324" s="10" t="str">
        <f>IF(DATAPENDUDUK!A324="","",DATAPENDUDUK!A324)</f>
        <v/>
      </c>
      <c r="B324" s="13" t="str">
        <f>IF(DATAPENDUDUK!B324="","",DATAPENDUDUK!B324)</f>
        <v/>
      </c>
      <c r="C324" s="10" t="str">
        <f>IF(DATAPENDUDUK!C324="","",DATAPENDUDUK!C324)</f>
        <v/>
      </c>
      <c r="D324" s="10" t="str">
        <f>IF(DATAPENDUDUK!E324="","",DATAPENDUDUK!E324)</f>
        <v/>
      </c>
      <c r="E324" s="10" t="str">
        <f>IF(DATAPENDUDUK!F324="","",DATAPENDUDUK!F324)</f>
        <v/>
      </c>
      <c r="F324" s="11" t="str">
        <f>IF(DATAPENDUDUK!H324="","",DATAPENDUDUK!H324)</f>
        <v/>
      </c>
      <c r="G324" s="10" t="str">
        <f t="shared" ca="1" si="8"/>
        <v/>
      </c>
      <c r="H324" t="str">
        <f t="shared" ca="1" si="9"/>
        <v/>
      </c>
    </row>
    <row r="325" spans="1:8" x14ac:dyDescent="0.25">
      <c r="A325" s="10" t="str">
        <f>IF(DATAPENDUDUK!A325="","",DATAPENDUDUK!A325)</f>
        <v/>
      </c>
      <c r="B325" s="13" t="str">
        <f>IF(DATAPENDUDUK!B325="","",DATAPENDUDUK!B325)</f>
        <v/>
      </c>
      <c r="C325" s="10" t="str">
        <f>IF(DATAPENDUDUK!C325="","",DATAPENDUDUK!C325)</f>
        <v/>
      </c>
      <c r="D325" s="10" t="str">
        <f>IF(DATAPENDUDUK!E325="","",DATAPENDUDUK!E325)</f>
        <v/>
      </c>
      <c r="E325" s="10" t="str">
        <f>IF(DATAPENDUDUK!F325="","",DATAPENDUDUK!F325)</f>
        <v/>
      </c>
      <c r="F325" s="11" t="str">
        <f>IF(DATAPENDUDUK!H325="","",DATAPENDUDUK!H325)</f>
        <v/>
      </c>
      <c r="G325" s="10" t="str">
        <f t="shared" ca="1" si="8"/>
        <v/>
      </c>
      <c r="H325" t="str">
        <f t="shared" ca="1" si="9"/>
        <v/>
      </c>
    </row>
    <row r="326" spans="1:8" x14ac:dyDescent="0.25">
      <c r="A326" s="10" t="str">
        <f>IF(DATAPENDUDUK!A326="","",DATAPENDUDUK!A326)</f>
        <v/>
      </c>
      <c r="B326" s="13" t="str">
        <f>IF(DATAPENDUDUK!B326="","",DATAPENDUDUK!B326)</f>
        <v/>
      </c>
      <c r="C326" s="10" t="str">
        <f>IF(DATAPENDUDUK!C326="","",DATAPENDUDUK!C326)</f>
        <v/>
      </c>
      <c r="D326" s="10" t="str">
        <f>IF(DATAPENDUDUK!E326="","",DATAPENDUDUK!E326)</f>
        <v/>
      </c>
      <c r="E326" s="10" t="str">
        <f>IF(DATAPENDUDUK!F326="","",DATAPENDUDUK!F326)</f>
        <v/>
      </c>
      <c r="F326" s="11" t="str">
        <f>IF(DATAPENDUDUK!H326="","",DATAPENDUDUK!H326)</f>
        <v/>
      </c>
      <c r="G326" s="10" t="str">
        <f t="shared" ref="G326:G389" ca="1" si="10">IFERROR(DATEDIF(F326,TODAY(),"Y"),"")</f>
        <v/>
      </c>
      <c r="H326" t="str">
        <f t="shared" ref="H326:H389" ca="1" si="11">IF(G326="","",IF(G326&lt;=1,"Bayi",IF(G326&lt;=10,"Anak-Anak",IF(G326&lt;=19,"Remaja",IF(G326&lt;=60,"Dewasa",IF(G326&gt;60,"Lanjut Usia"))))))</f>
        <v/>
      </c>
    </row>
    <row r="327" spans="1:8" x14ac:dyDescent="0.25">
      <c r="A327" s="10" t="str">
        <f>IF(DATAPENDUDUK!A327="","",DATAPENDUDUK!A327)</f>
        <v/>
      </c>
      <c r="B327" s="13" t="str">
        <f>IF(DATAPENDUDUK!B327="","",DATAPENDUDUK!B327)</f>
        <v/>
      </c>
      <c r="C327" s="10" t="str">
        <f>IF(DATAPENDUDUK!C327="","",DATAPENDUDUK!C327)</f>
        <v/>
      </c>
      <c r="D327" s="10" t="str">
        <f>IF(DATAPENDUDUK!E327="","",DATAPENDUDUK!E327)</f>
        <v/>
      </c>
      <c r="E327" s="10" t="str">
        <f>IF(DATAPENDUDUK!F327="","",DATAPENDUDUK!F327)</f>
        <v/>
      </c>
      <c r="F327" s="11" t="str">
        <f>IF(DATAPENDUDUK!H327="","",DATAPENDUDUK!H327)</f>
        <v/>
      </c>
      <c r="G327" s="10" t="str">
        <f t="shared" ca="1" si="10"/>
        <v/>
      </c>
      <c r="H327" t="str">
        <f t="shared" ca="1" si="11"/>
        <v/>
      </c>
    </row>
    <row r="328" spans="1:8" x14ac:dyDescent="0.25">
      <c r="A328" s="10" t="str">
        <f>IF(DATAPENDUDUK!A328="","",DATAPENDUDUK!A328)</f>
        <v/>
      </c>
      <c r="B328" s="13" t="str">
        <f>IF(DATAPENDUDUK!B328="","",DATAPENDUDUK!B328)</f>
        <v/>
      </c>
      <c r="C328" s="10" t="str">
        <f>IF(DATAPENDUDUK!C328="","",DATAPENDUDUK!C328)</f>
        <v/>
      </c>
      <c r="D328" s="10" t="str">
        <f>IF(DATAPENDUDUK!E328="","",DATAPENDUDUK!E328)</f>
        <v/>
      </c>
      <c r="E328" s="10" t="str">
        <f>IF(DATAPENDUDUK!F328="","",DATAPENDUDUK!F328)</f>
        <v/>
      </c>
      <c r="F328" s="11" t="str">
        <f>IF(DATAPENDUDUK!H328="","",DATAPENDUDUK!H328)</f>
        <v/>
      </c>
      <c r="G328" s="10" t="str">
        <f t="shared" ca="1" si="10"/>
        <v/>
      </c>
      <c r="H328" t="str">
        <f t="shared" ca="1" si="11"/>
        <v/>
      </c>
    </row>
    <row r="329" spans="1:8" x14ac:dyDescent="0.25">
      <c r="A329" s="10" t="str">
        <f>IF(DATAPENDUDUK!A329="","",DATAPENDUDUK!A329)</f>
        <v/>
      </c>
      <c r="B329" s="13" t="str">
        <f>IF(DATAPENDUDUK!B329="","",DATAPENDUDUK!B329)</f>
        <v/>
      </c>
      <c r="C329" s="10" t="str">
        <f>IF(DATAPENDUDUK!C329="","",DATAPENDUDUK!C329)</f>
        <v/>
      </c>
      <c r="D329" s="10" t="str">
        <f>IF(DATAPENDUDUK!E329="","",DATAPENDUDUK!E329)</f>
        <v/>
      </c>
      <c r="E329" s="10" t="str">
        <f>IF(DATAPENDUDUK!F329="","",DATAPENDUDUK!F329)</f>
        <v/>
      </c>
      <c r="F329" s="11" t="str">
        <f>IF(DATAPENDUDUK!H329="","",DATAPENDUDUK!H329)</f>
        <v/>
      </c>
      <c r="G329" s="10" t="str">
        <f t="shared" ca="1" si="10"/>
        <v/>
      </c>
      <c r="H329" t="str">
        <f t="shared" ca="1" si="11"/>
        <v/>
      </c>
    </row>
    <row r="330" spans="1:8" x14ac:dyDescent="0.25">
      <c r="A330" s="10" t="str">
        <f>IF(DATAPENDUDUK!A330="","",DATAPENDUDUK!A330)</f>
        <v/>
      </c>
      <c r="B330" s="13" t="str">
        <f>IF(DATAPENDUDUK!B330="","",DATAPENDUDUK!B330)</f>
        <v/>
      </c>
      <c r="C330" s="10" t="str">
        <f>IF(DATAPENDUDUK!C330="","",DATAPENDUDUK!C330)</f>
        <v/>
      </c>
      <c r="D330" s="10" t="str">
        <f>IF(DATAPENDUDUK!E330="","",DATAPENDUDUK!E330)</f>
        <v/>
      </c>
      <c r="E330" s="10" t="str">
        <f>IF(DATAPENDUDUK!F330="","",DATAPENDUDUK!F330)</f>
        <v/>
      </c>
      <c r="F330" s="11" t="str">
        <f>IF(DATAPENDUDUK!H330="","",DATAPENDUDUK!H330)</f>
        <v/>
      </c>
      <c r="G330" s="10" t="str">
        <f t="shared" ca="1" si="10"/>
        <v/>
      </c>
      <c r="H330" t="str">
        <f t="shared" ca="1" si="11"/>
        <v/>
      </c>
    </row>
    <row r="331" spans="1:8" x14ac:dyDescent="0.25">
      <c r="A331" s="10" t="str">
        <f>IF(DATAPENDUDUK!A331="","",DATAPENDUDUK!A331)</f>
        <v/>
      </c>
      <c r="B331" s="13" t="str">
        <f>IF(DATAPENDUDUK!B331="","",DATAPENDUDUK!B331)</f>
        <v/>
      </c>
      <c r="C331" s="10" t="str">
        <f>IF(DATAPENDUDUK!C331="","",DATAPENDUDUK!C331)</f>
        <v/>
      </c>
      <c r="D331" s="10" t="str">
        <f>IF(DATAPENDUDUK!E331="","",DATAPENDUDUK!E331)</f>
        <v/>
      </c>
      <c r="E331" s="10" t="str">
        <f>IF(DATAPENDUDUK!F331="","",DATAPENDUDUK!F331)</f>
        <v/>
      </c>
      <c r="F331" s="11" t="str">
        <f>IF(DATAPENDUDUK!H331="","",DATAPENDUDUK!H331)</f>
        <v/>
      </c>
      <c r="G331" s="10" t="str">
        <f t="shared" ca="1" si="10"/>
        <v/>
      </c>
      <c r="H331" t="str">
        <f t="shared" ca="1" si="11"/>
        <v/>
      </c>
    </row>
    <row r="332" spans="1:8" x14ac:dyDescent="0.25">
      <c r="A332" s="10" t="str">
        <f>IF(DATAPENDUDUK!A332="","",DATAPENDUDUK!A332)</f>
        <v/>
      </c>
      <c r="B332" s="13" t="str">
        <f>IF(DATAPENDUDUK!B332="","",DATAPENDUDUK!B332)</f>
        <v/>
      </c>
      <c r="C332" s="10" t="str">
        <f>IF(DATAPENDUDUK!C332="","",DATAPENDUDUK!C332)</f>
        <v/>
      </c>
      <c r="D332" s="10" t="str">
        <f>IF(DATAPENDUDUK!E332="","",DATAPENDUDUK!E332)</f>
        <v/>
      </c>
      <c r="E332" s="10" t="str">
        <f>IF(DATAPENDUDUK!F332="","",DATAPENDUDUK!F332)</f>
        <v/>
      </c>
      <c r="F332" s="11" t="str">
        <f>IF(DATAPENDUDUK!H332="","",DATAPENDUDUK!H332)</f>
        <v/>
      </c>
      <c r="G332" s="10" t="str">
        <f t="shared" ca="1" si="10"/>
        <v/>
      </c>
      <c r="H332" t="str">
        <f t="shared" ca="1" si="11"/>
        <v/>
      </c>
    </row>
    <row r="333" spans="1:8" x14ac:dyDescent="0.25">
      <c r="A333" s="10" t="str">
        <f>IF(DATAPENDUDUK!A333="","",DATAPENDUDUK!A333)</f>
        <v/>
      </c>
      <c r="B333" s="13" t="str">
        <f>IF(DATAPENDUDUK!B333="","",DATAPENDUDUK!B333)</f>
        <v/>
      </c>
      <c r="C333" s="10" t="str">
        <f>IF(DATAPENDUDUK!C333="","",DATAPENDUDUK!C333)</f>
        <v/>
      </c>
      <c r="D333" s="10" t="str">
        <f>IF(DATAPENDUDUK!E333="","",DATAPENDUDUK!E333)</f>
        <v/>
      </c>
      <c r="E333" s="10" t="str">
        <f>IF(DATAPENDUDUK!F333="","",DATAPENDUDUK!F333)</f>
        <v/>
      </c>
      <c r="F333" s="11" t="str">
        <f>IF(DATAPENDUDUK!H333="","",DATAPENDUDUK!H333)</f>
        <v/>
      </c>
      <c r="G333" s="10" t="str">
        <f t="shared" ca="1" si="10"/>
        <v/>
      </c>
      <c r="H333" t="str">
        <f t="shared" ca="1" si="11"/>
        <v/>
      </c>
    </row>
    <row r="334" spans="1:8" x14ac:dyDescent="0.25">
      <c r="A334" s="10" t="str">
        <f>IF(DATAPENDUDUK!A334="","",DATAPENDUDUK!A334)</f>
        <v/>
      </c>
      <c r="B334" s="13" t="str">
        <f>IF(DATAPENDUDUK!B334="","",DATAPENDUDUK!B334)</f>
        <v/>
      </c>
      <c r="C334" s="10" t="str">
        <f>IF(DATAPENDUDUK!C334="","",DATAPENDUDUK!C334)</f>
        <v/>
      </c>
      <c r="D334" s="10" t="str">
        <f>IF(DATAPENDUDUK!E334="","",DATAPENDUDUK!E334)</f>
        <v/>
      </c>
      <c r="E334" s="10" t="str">
        <f>IF(DATAPENDUDUK!F334="","",DATAPENDUDUK!F334)</f>
        <v/>
      </c>
      <c r="F334" s="11" t="str">
        <f>IF(DATAPENDUDUK!H334="","",DATAPENDUDUK!H334)</f>
        <v/>
      </c>
      <c r="G334" s="10" t="str">
        <f t="shared" ca="1" si="10"/>
        <v/>
      </c>
      <c r="H334" t="str">
        <f t="shared" ca="1" si="11"/>
        <v/>
      </c>
    </row>
    <row r="335" spans="1:8" x14ac:dyDescent="0.25">
      <c r="A335" s="10" t="str">
        <f>IF(DATAPENDUDUK!A335="","",DATAPENDUDUK!A335)</f>
        <v/>
      </c>
      <c r="B335" s="13" t="str">
        <f>IF(DATAPENDUDUK!B335="","",DATAPENDUDUK!B335)</f>
        <v/>
      </c>
      <c r="C335" s="10" t="str">
        <f>IF(DATAPENDUDUK!C335="","",DATAPENDUDUK!C335)</f>
        <v/>
      </c>
      <c r="D335" s="10" t="str">
        <f>IF(DATAPENDUDUK!E335="","",DATAPENDUDUK!E335)</f>
        <v/>
      </c>
      <c r="E335" s="10" t="str">
        <f>IF(DATAPENDUDUK!F335="","",DATAPENDUDUK!F335)</f>
        <v/>
      </c>
      <c r="F335" s="11" t="str">
        <f>IF(DATAPENDUDUK!H335="","",DATAPENDUDUK!H335)</f>
        <v/>
      </c>
      <c r="G335" s="10" t="str">
        <f t="shared" ca="1" si="10"/>
        <v/>
      </c>
      <c r="H335" t="str">
        <f t="shared" ca="1" si="11"/>
        <v/>
      </c>
    </row>
    <row r="336" spans="1:8" x14ac:dyDescent="0.25">
      <c r="A336" s="10" t="str">
        <f>IF(DATAPENDUDUK!A336="","",DATAPENDUDUK!A336)</f>
        <v/>
      </c>
      <c r="B336" s="13" t="str">
        <f>IF(DATAPENDUDUK!B336="","",DATAPENDUDUK!B336)</f>
        <v/>
      </c>
      <c r="C336" s="10" t="str">
        <f>IF(DATAPENDUDUK!C336="","",DATAPENDUDUK!C336)</f>
        <v/>
      </c>
      <c r="D336" s="10" t="str">
        <f>IF(DATAPENDUDUK!E336="","",DATAPENDUDUK!E336)</f>
        <v/>
      </c>
      <c r="E336" s="10" t="str">
        <f>IF(DATAPENDUDUK!F336="","",DATAPENDUDUK!F336)</f>
        <v/>
      </c>
      <c r="F336" s="11" t="str">
        <f>IF(DATAPENDUDUK!H336="","",DATAPENDUDUK!H336)</f>
        <v/>
      </c>
      <c r="G336" s="10" t="str">
        <f t="shared" ca="1" si="10"/>
        <v/>
      </c>
      <c r="H336" t="str">
        <f t="shared" ca="1" si="11"/>
        <v/>
      </c>
    </row>
    <row r="337" spans="1:8" x14ac:dyDescent="0.25">
      <c r="A337" s="10" t="str">
        <f>IF(DATAPENDUDUK!A337="","",DATAPENDUDUK!A337)</f>
        <v/>
      </c>
      <c r="B337" s="13" t="str">
        <f>IF(DATAPENDUDUK!B337="","",DATAPENDUDUK!B337)</f>
        <v/>
      </c>
      <c r="C337" s="10" t="str">
        <f>IF(DATAPENDUDUK!C337="","",DATAPENDUDUK!C337)</f>
        <v/>
      </c>
      <c r="D337" s="10" t="str">
        <f>IF(DATAPENDUDUK!E337="","",DATAPENDUDUK!E337)</f>
        <v/>
      </c>
      <c r="E337" s="10" t="str">
        <f>IF(DATAPENDUDUK!F337="","",DATAPENDUDUK!F337)</f>
        <v/>
      </c>
      <c r="F337" s="11" t="str">
        <f>IF(DATAPENDUDUK!H337="","",DATAPENDUDUK!H337)</f>
        <v/>
      </c>
      <c r="G337" s="10" t="str">
        <f t="shared" ca="1" si="10"/>
        <v/>
      </c>
      <c r="H337" t="str">
        <f t="shared" ca="1" si="11"/>
        <v/>
      </c>
    </row>
    <row r="338" spans="1:8" x14ac:dyDescent="0.25">
      <c r="A338" s="10" t="str">
        <f>IF(DATAPENDUDUK!A338="","",DATAPENDUDUK!A338)</f>
        <v/>
      </c>
      <c r="B338" s="13" t="str">
        <f>IF(DATAPENDUDUK!B338="","",DATAPENDUDUK!B338)</f>
        <v/>
      </c>
      <c r="C338" s="10" t="str">
        <f>IF(DATAPENDUDUK!C338="","",DATAPENDUDUK!C338)</f>
        <v/>
      </c>
      <c r="D338" s="10" t="str">
        <f>IF(DATAPENDUDUK!E338="","",DATAPENDUDUK!E338)</f>
        <v/>
      </c>
      <c r="E338" s="10" t="str">
        <f>IF(DATAPENDUDUK!F338="","",DATAPENDUDUK!F338)</f>
        <v/>
      </c>
      <c r="F338" s="11" t="str">
        <f>IF(DATAPENDUDUK!H338="","",DATAPENDUDUK!H338)</f>
        <v/>
      </c>
      <c r="G338" s="10" t="str">
        <f t="shared" ca="1" si="10"/>
        <v/>
      </c>
      <c r="H338" t="str">
        <f t="shared" ca="1" si="11"/>
        <v/>
      </c>
    </row>
    <row r="339" spans="1:8" x14ac:dyDescent="0.25">
      <c r="A339" s="10" t="str">
        <f>IF(DATAPENDUDUK!A339="","",DATAPENDUDUK!A339)</f>
        <v/>
      </c>
      <c r="B339" s="13" t="str">
        <f>IF(DATAPENDUDUK!B339="","",DATAPENDUDUK!B339)</f>
        <v/>
      </c>
      <c r="C339" s="10" t="str">
        <f>IF(DATAPENDUDUK!C339="","",DATAPENDUDUK!C339)</f>
        <v/>
      </c>
      <c r="D339" s="10" t="str">
        <f>IF(DATAPENDUDUK!E339="","",DATAPENDUDUK!E339)</f>
        <v/>
      </c>
      <c r="E339" s="10" t="str">
        <f>IF(DATAPENDUDUK!F339="","",DATAPENDUDUK!F339)</f>
        <v/>
      </c>
      <c r="F339" s="11" t="str">
        <f>IF(DATAPENDUDUK!H339="","",DATAPENDUDUK!H339)</f>
        <v/>
      </c>
      <c r="G339" s="10" t="str">
        <f t="shared" ca="1" si="10"/>
        <v/>
      </c>
      <c r="H339" t="str">
        <f t="shared" ca="1" si="11"/>
        <v/>
      </c>
    </row>
    <row r="340" spans="1:8" x14ac:dyDescent="0.25">
      <c r="A340" s="10" t="str">
        <f>IF(DATAPENDUDUK!A340="","",DATAPENDUDUK!A340)</f>
        <v/>
      </c>
      <c r="B340" s="13" t="str">
        <f>IF(DATAPENDUDUK!B340="","",DATAPENDUDUK!B340)</f>
        <v/>
      </c>
      <c r="C340" s="10" t="str">
        <f>IF(DATAPENDUDUK!C340="","",DATAPENDUDUK!C340)</f>
        <v/>
      </c>
      <c r="D340" s="10" t="str">
        <f>IF(DATAPENDUDUK!E340="","",DATAPENDUDUK!E340)</f>
        <v/>
      </c>
      <c r="E340" s="10" t="str">
        <f>IF(DATAPENDUDUK!F340="","",DATAPENDUDUK!F340)</f>
        <v/>
      </c>
      <c r="F340" s="11" t="str">
        <f>IF(DATAPENDUDUK!H340="","",DATAPENDUDUK!H340)</f>
        <v/>
      </c>
      <c r="G340" s="10" t="str">
        <f t="shared" ca="1" si="10"/>
        <v/>
      </c>
      <c r="H340" t="str">
        <f t="shared" ca="1" si="11"/>
        <v/>
      </c>
    </row>
    <row r="341" spans="1:8" x14ac:dyDescent="0.25">
      <c r="A341" s="10" t="str">
        <f>IF(DATAPENDUDUK!A341="","",DATAPENDUDUK!A341)</f>
        <v/>
      </c>
      <c r="B341" s="13" t="str">
        <f>IF(DATAPENDUDUK!B341="","",DATAPENDUDUK!B341)</f>
        <v/>
      </c>
      <c r="C341" s="10" t="str">
        <f>IF(DATAPENDUDUK!C341="","",DATAPENDUDUK!C341)</f>
        <v/>
      </c>
      <c r="D341" s="10" t="str">
        <f>IF(DATAPENDUDUK!E341="","",DATAPENDUDUK!E341)</f>
        <v/>
      </c>
      <c r="E341" s="10" t="str">
        <f>IF(DATAPENDUDUK!F341="","",DATAPENDUDUK!F341)</f>
        <v/>
      </c>
      <c r="F341" s="11" t="str">
        <f>IF(DATAPENDUDUK!H341="","",DATAPENDUDUK!H341)</f>
        <v/>
      </c>
      <c r="G341" s="10" t="str">
        <f t="shared" ca="1" si="10"/>
        <v/>
      </c>
      <c r="H341" t="str">
        <f t="shared" ca="1" si="11"/>
        <v/>
      </c>
    </row>
    <row r="342" spans="1:8" x14ac:dyDescent="0.25">
      <c r="A342" s="10" t="str">
        <f>IF(DATAPENDUDUK!A342="","",DATAPENDUDUK!A342)</f>
        <v/>
      </c>
      <c r="B342" s="13" t="str">
        <f>IF(DATAPENDUDUK!B342="","",DATAPENDUDUK!B342)</f>
        <v/>
      </c>
      <c r="C342" s="10" t="str">
        <f>IF(DATAPENDUDUK!C342="","",DATAPENDUDUK!C342)</f>
        <v/>
      </c>
      <c r="D342" s="10" t="str">
        <f>IF(DATAPENDUDUK!E342="","",DATAPENDUDUK!E342)</f>
        <v/>
      </c>
      <c r="E342" s="10" t="str">
        <f>IF(DATAPENDUDUK!F342="","",DATAPENDUDUK!F342)</f>
        <v/>
      </c>
      <c r="F342" s="11" t="str">
        <f>IF(DATAPENDUDUK!H342="","",DATAPENDUDUK!H342)</f>
        <v/>
      </c>
      <c r="G342" s="10" t="str">
        <f t="shared" ca="1" si="10"/>
        <v/>
      </c>
      <c r="H342" t="str">
        <f t="shared" ca="1" si="11"/>
        <v/>
      </c>
    </row>
    <row r="343" spans="1:8" x14ac:dyDescent="0.25">
      <c r="A343" s="10" t="str">
        <f>IF(DATAPENDUDUK!A343="","",DATAPENDUDUK!A343)</f>
        <v/>
      </c>
      <c r="B343" s="13" t="str">
        <f>IF(DATAPENDUDUK!B343="","",DATAPENDUDUK!B343)</f>
        <v/>
      </c>
      <c r="C343" s="10" t="str">
        <f>IF(DATAPENDUDUK!C343="","",DATAPENDUDUK!C343)</f>
        <v/>
      </c>
      <c r="D343" s="10" t="str">
        <f>IF(DATAPENDUDUK!E343="","",DATAPENDUDUK!E343)</f>
        <v/>
      </c>
      <c r="E343" s="10" t="str">
        <f>IF(DATAPENDUDUK!F343="","",DATAPENDUDUK!F343)</f>
        <v/>
      </c>
      <c r="F343" s="11" t="str">
        <f>IF(DATAPENDUDUK!H343="","",DATAPENDUDUK!H343)</f>
        <v/>
      </c>
      <c r="G343" s="10" t="str">
        <f t="shared" ca="1" si="10"/>
        <v/>
      </c>
      <c r="H343" t="str">
        <f t="shared" ca="1" si="11"/>
        <v/>
      </c>
    </row>
    <row r="344" spans="1:8" x14ac:dyDescent="0.25">
      <c r="A344" s="10" t="str">
        <f>IF(DATAPENDUDUK!A344="","",DATAPENDUDUK!A344)</f>
        <v/>
      </c>
      <c r="B344" s="13" t="str">
        <f>IF(DATAPENDUDUK!B344="","",DATAPENDUDUK!B344)</f>
        <v/>
      </c>
      <c r="C344" s="10" t="str">
        <f>IF(DATAPENDUDUK!C344="","",DATAPENDUDUK!C344)</f>
        <v/>
      </c>
      <c r="D344" s="10" t="str">
        <f>IF(DATAPENDUDUK!E344="","",DATAPENDUDUK!E344)</f>
        <v/>
      </c>
      <c r="E344" s="10" t="str">
        <f>IF(DATAPENDUDUK!F344="","",DATAPENDUDUK!F344)</f>
        <v/>
      </c>
      <c r="F344" s="11" t="str">
        <f>IF(DATAPENDUDUK!H344="","",DATAPENDUDUK!H344)</f>
        <v/>
      </c>
      <c r="G344" s="10" t="str">
        <f t="shared" ca="1" si="10"/>
        <v/>
      </c>
      <c r="H344" t="str">
        <f t="shared" ca="1" si="11"/>
        <v/>
      </c>
    </row>
    <row r="345" spans="1:8" x14ac:dyDescent="0.25">
      <c r="A345" s="10" t="str">
        <f>IF(DATAPENDUDUK!A345="","",DATAPENDUDUK!A345)</f>
        <v/>
      </c>
      <c r="B345" s="13" t="str">
        <f>IF(DATAPENDUDUK!B345="","",DATAPENDUDUK!B345)</f>
        <v/>
      </c>
      <c r="C345" s="10" t="str">
        <f>IF(DATAPENDUDUK!C345="","",DATAPENDUDUK!C345)</f>
        <v/>
      </c>
      <c r="D345" s="10" t="str">
        <f>IF(DATAPENDUDUK!E345="","",DATAPENDUDUK!E345)</f>
        <v/>
      </c>
      <c r="E345" s="10" t="str">
        <f>IF(DATAPENDUDUK!F345="","",DATAPENDUDUK!F345)</f>
        <v/>
      </c>
      <c r="F345" s="11" t="str">
        <f>IF(DATAPENDUDUK!H345="","",DATAPENDUDUK!H345)</f>
        <v/>
      </c>
      <c r="G345" s="10" t="str">
        <f t="shared" ca="1" si="10"/>
        <v/>
      </c>
      <c r="H345" t="str">
        <f t="shared" ca="1" si="11"/>
        <v/>
      </c>
    </row>
    <row r="346" spans="1:8" x14ac:dyDescent="0.25">
      <c r="A346" s="10" t="str">
        <f>IF(DATAPENDUDUK!A346="","",DATAPENDUDUK!A346)</f>
        <v/>
      </c>
      <c r="B346" s="13" t="str">
        <f>IF(DATAPENDUDUK!B346="","",DATAPENDUDUK!B346)</f>
        <v/>
      </c>
      <c r="C346" s="10" t="str">
        <f>IF(DATAPENDUDUK!C346="","",DATAPENDUDUK!C346)</f>
        <v/>
      </c>
      <c r="D346" s="10" t="str">
        <f>IF(DATAPENDUDUK!E346="","",DATAPENDUDUK!E346)</f>
        <v/>
      </c>
      <c r="E346" s="10" t="str">
        <f>IF(DATAPENDUDUK!F346="","",DATAPENDUDUK!F346)</f>
        <v/>
      </c>
      <c r="F346" s="11" t="str">
        <f>IF(DATAPENDUDUK!H346="","",DATAPENDUDUK!H346)</f>
        <v/>
      </c>
      <c r="G346" s="10" t="str">
        <f t="shared" ca="1" si="10"/>
        <v/>
      </c>
      <c r="H346" t="str">
        <f t="shared" ca="1" si="11"/>
        <v/>
      </c>
    </row>
    <row r="347" spans="1:8" x14ac:dyDescent="0.25">
      <c r="A347" s="10" t="str">
        <f>IF(DATAPENDUDUK!A347="","",DATAPENDUDUK!A347)</f>
        <v/>
      </c>
      <c r="B347" s="13" t="str">
        <f>IF(DATAPENDUDUK!B347="","",DATAPENDUDUK!B347)</f>
        <v/>
      </c>
      <c r="C347" s="10" t="str">
        <f>IF(DATAPENDUDUK!C347="","",DATAPENDUDUK!C347)</f>
        <v/>
      </c>
      <c r="D347" s="10" t="str">
        <f>IF(DATAPENDUDUK!E347="","",DATAPENDUDUK!E347)</f>
        <v/>
      </c>
      <c r="E347" s="10" t="str">
        <f>IF(DATAPENDUDUK!F347="","",DATAPENDUDUK!F347)</f>
        <v/>
      </c>
      <c r="F347" s="11" t="str">
        <f>IF(DATAPENDUDUK!H347="","",DATAPENDUDUK!H347)</f>
        <v/>
      </c>
      <c r="G347" s="10" t="str">
        <f t="shared" ca="1" si="10"/>
        <v/>
      </c>
      <c r="H347" t="str">
        <f t="shared" ca="1" si="11"/>
        <v/>
      </c>
    </row>
    <row r="348" spans="1:8" x14ac:dyDescent="0.25">
      <c r="A348" s="10" t="str">
        <f>IF(DATAPENDUDUK!A348="","",DATAPENDUDUK!A348)</f>
        <v/>
      </c>
      <c r="B348" s="13" t="str">
        <f>IF(DATAPENDUDUK!B348="","",DATAPENDUDUK!B348)</f>
        <v/>
      </c>
      <c r="C348" s="10" t="str">
        <f>IF(DATAPENDUDUK!C348="","",DATAPENDUDUK!C348)</f>
        <v/>
      </c>
      <c r="D348" s="10" t="str">
        <f>IF(DATAPENDUDUK!E348="","",DATAPENDUDUK!E348)</f>
        <v/>
      </c>
      <c r="E348" s="10" t="str">
        <f>IF(DATAPENDUDUK!F348="","",DATAPENDUDUK!F348)</f>
        <v/>
      </c>
      <c r="F348" s="11" t="str">
        <f>IF(DATAPENDUDUK!H348="","",DATAPENDUDUK!H348)</f>
        <v/>
      </c>
      <c r="G348" s="10" t="str">
        <f t="shared" ca="1" si="10"/>
        <v/>
      </c>
      <c r="H348" t="str">
        <f t="shared" ca="1" si="11"/>
        <v/>
      </c>
    </row>
    <row r="349" spans="1:8" x14ac:dyDescent="0.25">
      <c r="A349" s="10" t="str">
        <f>IF(DATAPENDUDUK!A349="","",DATAPENDUDUK!A349)</f>
        <v/>
      </c>
      <c r="B349" s="13" t="str">
        <f>IF(DATAPENDUDUK!B349="","",DATAPENDUDUK!B349)</f>
        <v/>
      </c>
      <c r="C349" s="10" t="str">
        <f>IF(DATAPENDUDUK!C349="","",DATAPENDUDUK!C349)</f>
        <v/>
      </c>
      <c r="D349" s="10" t="str">
        <f>IF(DATAPENDUDUK!E349="","",DATAPENDUDUK!E349)</f>
        <v/>
      </c>
      <c r="E349" s="10" t="str">
        <f>IF(DATAPENDUDUK!F349="","",DATAPENDUDUK!F349)</f>
        <v/>
      </c>
      <c r="F349" s="11" t="str">
        <f>IF(DATAPENDUDUK!H349="","",DATAPENDUDUK!H349)</f>
        <v/>
      </c>
      <c r="G349" s="10" t="str">
        <f t="shared" ca="1" si="10"/>
        <v/>
      </c>
      <c r="H349" t="str">
        <f t="shared" ca="1" si="11"/>
        <v/>
      </c>
    </row>
    <row r="350" spans="1:8" x14ac:dyDescent="0.25">
      <c r="A350" s="10" t="str">
        <f>IF(DATAPENDUDUK!A350="","",DATAPENDUDUK!A350)</f>
        <v/>
      </c>
      <c r="B350" s="13" t="str">
        <f>IF(DATAPENDUDUK!B350="","",DATAPENDUDUK!B350)</f>
        <v/>
      </c>
      <c r="C350" s="10" t="str">
        <f>IF(DATAPENDUDUK!C350="","",DATAPENDUDUK!C350)</f>
        <v/>
      </c>
      <c r="D350" s="10" t="str">
        <f>IF(DATAPENDUDUK!E350="","",DATAPENDUDUK!E350)</f>
        <v/>
      </c>
      <c r="E350" s="10" t="str">
        <f>IF(DATAPENDUDUK!F350="","",DATAPENDUDUK!F350)</f>
        <v/>
      </c>
      <c r="F350" s="11" t="str">
        <f>IF(DATAPENDUDUK!H350="","",DATAPENDUDUK!H350)</f>
        <v/>
      </c>
      <c r="G350" s="10" t="str">
        <f t="shared" ca="1" si="10"/>
        <v/>
      </c>
      <c r="H350" t="str">
        <f t="shared" ca="1" si="11"/>
        <v/>
      </c>
    </row>
    <row r="351" spans="1:8" x14ac:dyDescent="0.25">
      <c r="A351" s="10" t="str">
        <f>IF(DATAPENDUDUK!A351="","",DATAPENDUDUK!A351)</f>
        <v/>
      </c>
      <c r="B351" s="13" t="str">
        <f>IF(DATAPENDUDUK!B351="","",DATAPENDUDUK!B351)</f>
        <v/>
      </c>
      <c r="C351" s="10" t="str">
        <f>IF(DATAPENDUDUK!C351="","",DATAPENDUDUK!C351)</f>
        <v/>
      </c>
      <c r="D351" s="10" t="str">
        <f>IF(DATAPENDUDUK!E351="","",DATAPENDUDUK!E351)</f>
        <v/>
      </c>
      <c r="E351" s="10" t="str">
        <f>IF(DATAPENDUDUK!F351="","",DATAPENDUDUK!F351)</f>
        <v/>
      </c>
      <c r="F351" s="11" t="str">
        <f>IF(DATAPENDUDUK!H351="","",DATAPENDUDUK!H351)</f>
        <v/>
      </c>
      <c r="G351" s="10" t="str">
        <f t="shared" ca="1" si="10"/>
        <v/>
      </c>
      <c r="H351" t="str">
        <f t="shared" ca="1" si="11"/>
        <v/>
      </c>
    </row>
    <row r="352" spans="1:8" x14ac:dyDescent="0.25">
      <c r="A352" s="10" t="str">
        <f>IF(DATAPENDUDUK!A352="","",DATAPENDUDUK!A352)</f>
        <v/>
      </c>
      <c r="B352" s="13" t="str">
        <f>IF(DATAPENDUDUK!B352="","",DATAPENDUDUK!B352)</f>
        <v/>
      </c>
      <c r="C352" s="10" t="str">
        <f>IF(DATAPENDUDUK!C352="","",DATAPENDUDUK!C352)</f>
        <v/>
      </c>
      <c r="D352" s="10" t="str">
        <f>IF(DATAPENDUDUK!E352="","",DATAPENDUDUK!E352)</f>
        <v/>
      </c>
      <c r="E352" s="10" t="str">
        <f>IF(DATAPENDUDUK!F352="","",DATAPENDUDUK!F352)</f>
        <v/>
      </c>
      <c r="F352" s="11" t="str">
        <f>IF(DATAPENDUDUK!H352="","",DATAPENDUDUK!H352)</f>
        <v/>
      </c>
      <c r="G352" s="10" t="str">
        <f t="shared" ca="1" si="10"/>
        <v/>
      </c>
      <c r="H352" t="str">
        <f t="shared" ca="1" si="11"/>
        <v/>
      </c>
    </row>
    <row r="353" spans="1:8" x14ac:dyDescent="0.25">
      <c r="A353" s="10" t="str">
        <f>IF(DATAPENDUDUK!A353="","",DATAPENDUDUK!A353)</f>
        <v/>
      </c>
      <c r="B353" s="13" t="str">
        <f>IF(DATAPENDUDUK!B353="","",DATAPENDUDUK!B353)</f>
        <v/>
      </c>
      <c r="C353" s="10" t="str">
        <f>IF(DATAPENDUDUK!C353="","",DATAPENDUDUK!C353)</f>
        <v/>
      </c>
      <c r="D353" s="10" t="str">
        <f>IF(DATAPENDUDUK!E353="","",DATAPENDUDUK!E353)</f>
        <v/>
      </c>
      <c r="E353" s="10" t="str">
        <f>IF(DATAPENDUDUK!F353="","",DATAPENDUDUK!F353)</f>
        <v/>
      </c>
      <c r="F353" s="11" t="str">
        <f>IF(DATAPENDUDUK!H353="","",DATAPENDUDUK!H353)</f>
        <v/>
      </c>
      <c r="G353" s="10" t="str">
        <f t="shared" ca="1" si="10"/>
        <v/>
      </c>
      <c r="H353" t="str">
        <f t="shared" ca="1" si="11"/>
        <v/>
      </c>
    </row>
    <row r="354" spans="1:8" x14ac:dyDescent="0.25">
      <c r="A354" s="10" t="str">
        <f>IF(DATAPENDUDUK!A354="","",DATAPENDUDUK!A354)</f>
        <v/>
      </c>
      <c r="B354" s="13" t="str">
        <f>IF(DATAPENDUDUK!B354="","",DATAPENDUDUK!B354)</f>
        <v/>
      </c>
      <c r="C354" s="10" t="str">
        <f>IF(DATAPENDUDUK!C354="","",DATAPENDUDUK!C354)</f>
        <v/>
      </c>
      <c r="D354" s="10" t="str">
        <f>IF(DATAPENDUDUK!E354="","",DATAPENDUDUK!E354)</f>
        <v/>
      </c>
      <c r="E354" s="10" t="str">
        <f>IF(DATAPENDUDUK!F354="","",DATAPENDUDUK!F354)</f>
        <v/>
      </c>
      <c r="F354" s="11" t="str">
        <f>IF(DATAPENDUDUK!H354="","",DATAPENDUDUK!H354)</f>
        <v/>
      </c>
      <c r="G354" s="10" t="str">
        <f t="shared" ca="1" si="10"/>
        <v/>
      </c>
      <c r="H354" t="str">
        <f t="shared" ca="1" si="11"/>
        <v/>
      </c>
    </row>
    <row r="355" spans="1:8" x14ac:dyDescent="0.25">
      <c r="A355" s="10" t="str">
        <f>IF(DATAPENDUDUK!A355="","",DATAPENDUDUK!A355)</f>
        <v/>
      </c>
      <c r="B355" s="13" t="str">
        <f>IF(DATAPENDUDUK!B355="","",DATAPENDUDUK!B355)</f>
        <v/>
      </c>
      <c r="C355" s="10" t="str">
        <f>IF(DATAPENDUDUK!C355="","",DATAPENDUDUK!C355)</f>
        <v/>
      </c>
      <c r="D355" s="10" t="str">
        <f>IF(DATAPENDUDUK!E355="","",DATAPENDUDUK!E355)</f>
        <v/>
      </c>
      <c r="E355" s="10" t="str">
        <f>IF(DATAPENDUDUK!F355="","",DATAPENDUDUK!F355)</f>
        <v/>
      </c>
      <c r="F355" s="11" t="str">
        <f>IF(DATAPENDUDUK!H355="","",DATAPENDUDUK!H355)</f>
        <v/>
      </c>
      <c r="G355" s="10" t="str">
        <f t="shared" ca="1" si="10"/>
        <v/>
      </c>
      <c r="H355" t="str">
        <f t="shared" ca="1" si="11"/>
        <v/>
      </c>
    </row>
    <row r="356" spans="1:8" x14ac:dyDescent="0.25">
      <c r="A356" s="10" t="str">
        <f>IF(DATAPENDUDUK!A356="","",DATAPENDUDUK!A356)</f>
        <v/>
      </c>
      <c r="B356" s="13" t="str">
        <f>IF(DATAPENDUDUK!B356="","",DATAPENDUDUK!B356)</f>
        <v/>
      </c>
      <c r="C356" s="10" t="str">
        <f>IF(DATAPENDUDUK!C356="","",DATAPENDUDUK!C356)</f>
        <v/>
      </c>
      <c r="D356" s="10" t="str">
        <f>IF(DATAPENDUDUK!E356="","",DATAPENDUDUK!E356)</f>
        <v/>
      </c>
      <c r="E356" s="10" t="str">
        <f>IF(DATAPENDUDUK!F356="","",DATAPENDUDUK!F356)</f>
        <v/>
      </c>
      <c r="F356" s="11" t="str">
        <f>IF(DATAPENDUDUK!H356="","",DATAPENDUDUK!H356)</f>
        <v/>
      </c>
      <c r="G356" s="10" t="str">
        <f t="shared" ca="1" si="10"/>
        <v/>
      </c>
      <c r="H356" t="str">
        <f t="shared" ca="1" si="11"/>
        <v/>
      </c>
    </row>
    <row r="357" spans="1:8" x14ac:dyDescent="0.25">
      <c r="A357" s="10" t="str">
        <f>IF(DATAPENDUDUK!A357="","",DATAPENDUDUK!A357)</f>
        <v/>
      </c>
      <c r="B357" s="13" t="str">
        <f>IF(DATAPENDUDUK!B357="","",DATAPENDUDUK!B357)</f>
        <v/>
      </c>
      <c r="C357" s="10" t="str">
        <f>IF(DATAPENDUDUK!C357="","",DATAPENDUDUK!C357)</f>
        <v/>
      </c>
      <c r="D357" s="10" t="str">
        <f>IF(DATAPENDUDUK!E357="","",DATAPENDUDUK!E357)</f>
        <v/>
      </c>
      <c r="E357" s="10" t="str">
        <f>IF(DATAPENDUDUK!F357="","",DATAPENDUDUK!F357)</f>
        <v/>
      </c>
      <c r="F357" s="11" t="str">
        <f>IF(DATAPENDUDUK!H357="","",DATAPENDUDUK!H357)</f>
        <v/>
      </c>
      <c r="G357" s="10" t="str">
        <f t="shared" ca="1" si="10"/>
        <v/>
      </c>
      <c r="H357" t="str">
        <f t="shared" ca="1" si="11"/>
        <v/>
      </c>
    </row>
    <row r="358" spans="1:8" x14ac:dyDescent="0.25">
      <c r="A358" s="10" t="str">
        <f>IF(DATAPENDUDUK!A358="","",DATAPENDUDUK!A358)</f>
        <v/>
      </c>
      <c r="B358" s="13" t="str">
        <f>IF(DATAPENDUDUK!B358="","",DATAPENDUDUK!B358)</f>
        <v/>
      </c>
      <c r="C358" s="10" t="str">
        <f>IF(DATAPENDUDUK!C358="","",DATAPENDUDUK!C358)</f>
        <v/>
      </c>
      <c r="D358" s="10" t="str">
        <f>IF(DATAPENDUDUK!E358="","",DATAPENDUDUK!E358)</f>
        <v/>
      </c>
      <c r="E358" s="10" t="str">
        <f>IF(DATAPENDUDUK!F358="","",DATAPENDUDUK!F358)</f>
        <v/>
      </c>
      <c r="F358" s="11" t="str">
        <f>IF(DATAPENDUDUK!H358="","",DATAPENDUDUK!H358)</f>
        <v/>
      </c>
      <c r="G358" s="10" t="str">
        <f t="shared" ca="1" si="10"/>
        <v/>
      </c>
      <c r="H358" t="str">
        <f t="shared" ca="1" si="11"/>
        <v/>
      </c>
    </row>
    <row r="359" spans="1:8" x14ac:dyDescent="0.25">
      <c r="A359" s="10" t="str">
        <f>IF(DATAPENDUDUK!A359="","",DATAPENDUDUK!A359)</f>
        <v/>
      </c>
      <c r="B359" s="13" t="str">
        <f>IF(DATAPENDUDUK!B359="","",DATAPENDUDUK!B359)</f>
        <v/>
      </c>
      <c r="C359" s="10" t="str">
        <f>IF(DATAPENDUDUK!C359="","",DATAPENDUDUK!C359)</f>
        <v/>
      </c>
      <c r="D359" s="10" t="str">
        <f>IF(DATAPENDUDUK!E359="","",DATAPENDUDUK!E359)</f>
        <v/>
      </c>
      <c r="E359" s="10" t="str">
        <f>IF(DATAPENDUDUK!F359="","",DATAPENDUDUK!F359)</f>
        <v/>
      </c>
      <c r="F359" s="11" t="str">
        <f>IF(DATAPENDUDUK!H359="","",DATAPENDUDUK!H359)</f>
        <v/>
      </c>
      <c r="G359" s="10" t="str">
        <f t="shared" ca="1" si="10"/>
        <v/>
      </c>
      <c r="H359" t="str">
        <f t="shared" ca="1" si="11"/>
        <v/>
      </c>
    </row>
    <row r="360" spans="1:8" x14ac:dyDescent="0.25">
      <c r="A360" s="10" t="str">
        <f>IF(DATAPENDUDUK!A360="","",DATAPENDUDUK!A360)</f>
        <v/>
      </c>
      <c r="B360" s="13" t="str">
        <f>IF(DATAPENDUDUK!B360="","",DATAPENDUDUK!B360)</f>
        <v/>
      </c>
      <c r="C360" s="10" t="str">
        <f>IF(DATAPENDUDUK!C360="","",DATAPENDUDUK!C360)</f>
        <v/>
      </c>
      <c r="D360" s="10" t="str">
        <f>IF(DATAPENDUDUK!E360="","",DATAPENDUDUK!E360)</f>
        <v/>
      </c>
      <c r="E360" s="10" t="str">
        <f>IF(DATAPENDUDUK!F360="","",DATAPENDUDUK!F360)</f>
        <v/>
      </c>
      <c r="F360" s="11" t="str">
        <f>IF(DATAPENDUDUK!H360="","",DATAPENDUDUK!H360)</f>
        <v/>
      </c>
      <c r="G360" s="10" t="str">
        <f t="shared" ca="1" si="10"/>
        <v/>
      </c>
      <c r="H360" t="str">
        <f t="shared" ca="1" si="11"/>
        <v/>
      </c>
    </row>
    <row r="361" spans="1:8" x14ac:dyDescent="0.25">
      <c r="A361" s="10" t="str">
        <f>IF(DATAPENDUDUK!A361="","",DATAPENDUDUK!A361)</f>
        <v/>
      </c>
      <c r="B361" s="13" t="str">
        <f>IF(DATAPENDUDUK!B361="","",DATAPENDUDUK!B361)</f>
        <v/>
      </c>
      <c r="C361" s="10" t="str">
        <f>IF(DATAPENDUDUK!C361="","",DATAPENDUDUK!C361)</f>
        <v/>
      </c>
      <c r="D361" s="10" t="str">
        <f>IF(DATAPENDUDUK!E361="","",DATAPENDUDUK!E361)</f>
        <v/>
      </c>
      <c r="E361" s="10" t="str">
        <f>IF(DATAPENDUDUK!F361="","",DATAPENDUDUK!F361)</f>
        <v/>
      </c>
      <c r="F361" s="11" t="str">
        <f>IF(DATAPENDUDUK!H361="","",DATAPENDUDUK!H361)</f>
        <v/>
      </c>
      <c r="G361" s="10" t="str">
        <f t="shared" ca="1" si="10"/>
        <v/>
      </c>
      <c r="H361" t="str">
        <f t="shared" ca="1" si="11"/>
        <v/>
      </c>
    </row>
    <row r="362" spans="1:8" x14ac:dyDescent="0.25">
      <c r="A362" s="10" t="str">
        <f>IF(DATAPENDUDUK!A362="","",DATAPENDUDUK!A362)</f>
        <v/>
      </c>
      <c r="B362" s="13" t="str">
        <f>IF(DATAPENDUDUK!B362="","",DATAPENDUDUK!B362)</f>
        <v/>
      </c>
      <c r="C362" s="10" t="str">
        <f>IF(DATAPENDUDUK!C362="","",DATAPENDUDUK!C362)</f>
        <v/>
      </c>
      <c r="D362" s="10" t="str">
        <f>IF(DATAPENDUDUK!E362="","",DATAPENDUDUK!E362)</f>
        <v/>
      </c>
      <c r="E362" s="10" t="str">
        <f>IF(DATAPENDUDUK!F362="","",DATAPENDUDUK!F362)</f>
        <v/>
      </c>
      <c r="F362" s="11" t="str">
        <f>IF(DATAPENDUDUK!H362="","",DATAPENDUDUK!H362)</f>
        <v/>
      </c>
      <c r="G362" s="10" t="str">
        <f t="shared" ca="1" si="10"/>
        <v/>
      </c>
      <c r="H362" t="str">
        <f t="shared" ca="1" si="11"/>
        <v/>
      </c>
    </row>
    <row r="363" spans="1:8" x14ac:dyDescent="0.25">
      <c r="A363" s="10" t="str">
        <f>IF(DATAPENDUDUK!A363="","",DATAPENDUDUK!A363)</f>
        <v/>
      </c>
      <c r="B363" s="13" t="str">
        <f>IF(DATAPENDUDUK!B363="","",DATAPENDUDUK!B363)</f>
        <v/>
      </c>
      <c r="C363" s="10" t="str">
        <f>IF(DATAPENDUDUK!C363="","",DATAPENDUDUK!C363)</f>
        <v/>
      </c>
      <c r="D363" s="10" t="str">
        <f>IF(DATAPENDUDUK!E363="","",DATAPENDUDUK!E363)</f>
        <v/>
      </c>
      <c r="E363" s="10" t="str">
        <f>IF(DATAPENDUDUK!F363="","",DATAPENDUDUK!F363)</f>
        <v/>
      </c>
      <c r="F363" s="11" t="str">
        <f>IF(DATAPENDUDUK!H363="","",DATAPENDUDUK!H363)</f>
        <v/>
      </c>
      <c r="G363" s="10" t="str">
        <f t="shared" ca="1" si="10"/>
        <v/>
      </c>
      <c r="H363" t="str">
        <f t="shared" ca="1" si="11"/>
        <v/>
      </c>
    </row>
    <row r="364" spans="1:8" x14ac:dyDescent="0.25">
      <c r="A364" s="10" t="str">
        <f>IF(DATAPENDUDUK!A364="","",DATAPENDUDUK!A364)</f>
        <v/>
      </c>
      <c r="B364" s="13" t="str">
        <f>IF(DATAPENDUDUK!B364="","",DATAPENDUDUK!B364)</f>
        <v/>
      </c>
      <c r="C364" s="10" t="str">
        <f>IF(DATAPENDUDUK!C364="","",DATAPENDUDUK!C364)</f>
        <v/>
      </c>
      <c r="D364" s="10" t="str">
        <f>IF(DATAPENDUDUK!E364="","",DATAPENDUDUK!E364)</f>
        <v/>
      </c>
      <c r="E364" s="10" t="str">
        <f>IF(DATAPENDUDUK!F364="","",DATAPENDUDUK!F364)</f>
        <v/>
      </c>
      <c r="F364" s="11" t="str">
        <f>IF(DATAPENDUDUK!H364="","",DATAPENDUDUK!H364)</f>
        <v/>
      </c>
      <c r="G364" s="10" t="str">
        <f t="shared" ca="1" si="10"/>
        <v/>
      </c>
      <c r="H364" t="str">
        <f t="shared" ca="1" si="11"/>
        <v/>
      </c>
    </row>
    <row r="365" spans="1:8" x14ac:dyDescent="0.25">
      <c r="A365" s="10" t="str">
        <f>IF(DATAPENDUDUK!A365="","",DATAPENDUDUK!A365)</f>
        <v/>
      </c>
      <c r="B365" s="13" t="str">
        <f>IF(DATAPENDUDUK!B365="","",DATAPENDUDUK!B365)</f>
        <v/>
      </c>
      <c r="C365" s="10" t="str">
        <f>IF(DATAPENDUDUK!C365="","",DATAPENDUDUK!C365)</f>
        <v/>
      </c>
      <c r="D365" s="10" t="str">
        <f>IF(DATAPENDUDUK!E365="","",DATAPENDUDUK!E365)</f>
        <v/>
      </c>
      <c r="E365" s="10" t="str">
        <f>IF(DATAPENDUDUK!F365="","",DATAPENDUDUK!F365)</f>
        <v/>
      </c>
      <c r="F365" s="11" t="str">
        <f>IF(DATAPENDUDUK!H365="","",DATAPENDUDUK!H365)</f>
        <v/>
      </c>
      <c r="G365" s="10" t="str">
        <f t="shared" ca="1" si="10"/>
        <v/>
      </c>
      <c r="H365" t="str">
        <f t="shared" ca="1" si="11"/>
        <v/>
      </c>
    </row>
    <row r="366" spans="1:8" x14ac:dyDescent="0.25">
      <c r="A366" s="10" t="str">
        <f>IF(DATAPENDUDUK!A366="","",DATAPENDUDUK!A366)</f>
        <v/>
      </c>
      <c r="B366" s="13" t="str">
        <f>IF(DATAPENDUDUK!B366="","",DATAPENDUDUK!B366)</f>
        <v/>
      </c>
      <c r="C366" s="10" t="str">
        <f>IF(DATAPENDUDUK!C366="","",DATAPENDUDUK!C366)</f>
        <v/>
      </c>
      <c r="D366" s="10" t="str">
        <f>IF(DATAPENDUDUK!E366="","",DATAPENDUDUK!E366)</f>
        <v/>
      </c>
      <c r="E366" s="10" t="str">
        <f>IF(DATAPENDUDUK!F366="","",DATAPENDUDUK!F366)</f>
        <v/>
      </c>
      <c r="F366" s="11" t="str">
        <f>IF(DATAPENDUDUK!H366="","",DATAPENDUDUK!H366)</f>
        <v/>
      </c>
      <c r="G366" s="10" t="str">
        <f t="shared" ca="1" si="10"/>
        <v/>
      </c>
      <c r="H366" t="str">
        <f t="shared" ca="1" si="11"/>
        <v/>
      </c>
    </row>
    <row r="367" spans="1:8" x14ac:dyDescent="0.25">
      <c r="A367" s="10" t="str">
        <f>IF(DATAPENDUDUK!A367="","",DATAPENDUDUK!A367)</f>
        <v/>
      </c>
      <c r="B367" s="13" t="str">
        <f>IF(DATAPENDUDUK!B367="","",DATAPENDUDUK!B367)</f>
        <v/>
      </c>
      <c r="C367" s="10" t="str">
        <f>IF(DATAPENDUDUK!C367="","",DATAPENDUDUK!C367)</f>
        <v/>
      </c>
      <c r="D367" s="10" t="str">
        <f>IF(DATAPENDUDUK!E367="","",DATAPENDUDUK!E367)</f>
        <v/>
      </c>
      <c r="E367" s="10" t="str">
        <f>IF(DATAPENDUDUK!F367="","",DATAPENDUDUK!F367)</f>
        <v/>
      </c>
      <c r="F367" s="11" t="str">
        <f>IF(DATAPENDUDUK!H367="","",DATAPENDUDUK!H367)</f>
        <v/>
      </c>
      <c r="G367" s="10" t="str">
        <f t="shared" ca="1" si="10"/>
        <v/>
      </c>
      <c r="H367" t="str">
        <f t="shared" ca="1" si="11"/>
        <v/>
      </c>
    </row>
    <row r="368" spans="1:8" x14ac:dyDescent="0.25">
      <c r="A368" s="10" t="str">
        <f>IF(DATAPENDUDUK!A368="","",DATAPENDUDUK!A368)</f>
        <v/>
      </c>
      <c r="B368" s="13" t="str">
        <f>IF(DATAPENDUDUK!B368="","",DATAPENDUDUK!B368)</f>
        <v/>
      </c>
      <c r="C368" s="10" t="str">
        <f>IF(DATAPENDUDUK!C368="","",DATAPENDUDUK!C368)</f>
        <v/>
      </c>
      <c r="D368" s="10" t="str">
        <f>IF(DATAPENDUDUK!E368="","",DATAPENDUDUK!E368)</f>
        <v/>
      </c>
      <c r="E368" s="10" t="str">
        <f>IF(DATAPENDUDUK!F368="","",DATAPENDUDUK!F368)</f>
        <v/>
      </c>
      <c r="F368" s="11" t="str">
        <f>IF(DATAPENDUDUK!H368="","",DATAPENDUDUK!H368)</f>
        <v/>
      </c>
      <c r="G368" s="10" t="str">
        <f t="shared" ca="1" si="10"/>
        <v/>
      </c>
      <c r="H368" t="str">
        <f t="shared" ca="1" si="11"/>
        <v/>
      </c>
    </row>
    <row r="369" spans="1:8" x14ac:dyDescent="0.25">
      <c r="A369" s="10" t="str">
        <f>IF(DATAPENDUDUK!A369="","",DATAPENDUDUK!A369)</f>
        <v/>
      </c>
      <c r="B369" s="13" t="str">
        <f>IF(DATAPENDUDUK!B369="","",DATAPENDUDUK!B369)</f>
        <v/>
      </c>
      <c r="C369" s="10" t="str">
        <f>IF(DATAPENDUDUK!C369="","",DATAPENDUDUK!C369)</f>
        <v/>
      </c>
      <c r="D369" s="10" t="str">
        <f>IF(DATAPENDUDUK!E369="","",DATAPENDUDUK!E369)</f>
        <v/>
      </c>
      <c r="E369" s="10" t="str">
        <f>IF(DATAPENDUDUK!F369="","",DATAPENDUDUK!F369)</f>
        <v/>
      </c>
      <c r="F369" s="11" t="str">
        <f>IF(DATAPENDUDUK!H369="","",DATAPENDUDUK!H369)</f>
        <v/>
      </c>
      <c r="G369" s="10" t="str">
        <f t="shared" ca="1" si="10"/>
        <v/>
      </c>
      <c r="H369" t="str">
        <f t="shared" ca="1" si="11"/>
        <v/>
      </c>
    </row>
    <row r="370" spans="1:8" x14ac:dyDescent="0.25">
      <c r="A370" s="10" t="str">
        <f>IF(DATAPENDUDUK!A370="","",DATAPENDUDUK!A370)</f>
        <v/>
      </c>
      <c r="B370" s="13" t="str">
        <f>IF(DATAPENDUDUK!B370="","",DATAPENDUDUK!B370)</f>
        <v/>
      </c>
      <c r="C370" s="10" t="str">
        <f>IF(DATAPENDUDUK!C370="","",DATAPENDUDUK!C370)</f>
        <v/>
      </c>
      <c r="D370" s="10" t="str">
        <f>IF(DATAPENDUDUK!E370="","",DATAPENDUDUK!E370)</f>
        <v/>
      </c>
      <c r="E370" s="10" t="str">
        <f>IF(DATAPENDUDUK!F370="","",DATAPENDUDUK!F370)</f>
        <v/>
      </c>
      <c r="F370" s="11" t="str">
        <f>IF(DATAPENDUDUK!H370="","",DATAPENDUDUK!H370)</f>
        <v/>
      </c>
      <c r="G370" s="10" t="str">
        <f t="shared" ca="1" si="10"/>
        <v/>
      </c>
      <c r="H370" t="str">
        <f t="shared" ca="1" si="11"/>
        <v/>
      </c>
    </row>
    <row r="371" spans="1:8" x14ac:dyDescent="0.25">
      <c r="A371" s="10" t="str">
        <f>IF(DATAPENDUDUK!A371="","",DATAPENDUDUK!A371)</f>
        <v/>
      </c>
      <c r="B371" s="13" t="str">
        <f>IF(DATAPENDUDUK!B371="","",DATAPENDUDUK!B371)</f>
        <v/>
      </c>
      <c r="C371" s="10" t="str">
        <f>IF(DATAPENDUDUK!C371="","",DATAPENDUDUK!C371)</f>
        <v/>
      </c>
      <c r="D371" s="10" t="str">
        <f>IF(DATAPENDUDUK!E371="","",DATAPENDUDUK!E371)</f>
        <v/>
      </c>
      <c r="E371" s="10" t="str">
        <f>IF(DATAPENDUDUK!F371="","",DATAPENDUDUK!F371)</f>
        <v/>
      </c>
      <c r="F371" s="11" t="str">
        <f>IF(DATAPENDUDUK!H371="","",DATAPENDUDUK!H371)</f>
        <v/>
      </c>
      <c r="G371" s="10" t="str">
        <f t="shared" ca="1" si="10"/>
        <v/>
      </c>
      <c r="H371" t="str">
        <f t="shared" ca="1" si="11"/>
        <v/>
      </c>
    </row>
    <row r="372" spans="1:8" x14ac:dyDescent="0.25">
      <c r="A372" s="10" t="str">
        <f>IF(DATAPENDUDUK!A372="","",DATAPENDUDUK!A372)</f>
        <v/>
      </c>
      <c r="B372" s="13" t="str">
        <f>IF(DATAPENDUDUK!B372="","",DATAPENDUDUK!B372)</f>
        <v/>
      </c>
      <c r="C372" s="10" t="str">
        <f>IF(DATAPENDUDUK!C372="","",DATAPENDUDUK!C372)</f>
        <v/>
      </c>
      <c r="D372" s="10" t="str">
        <f>IF(DATAPENDUDUK!E372="","",DATAPENDUDUK!E372)</f>
        <v/>
      </c>
      <c r="E372" s="10" t="str">
        <f>IF(DATAPENDUDUK!F372="","",DATAPENDUDUK!F372)</f>
        <v/>
      </c>
      <c r="F372" s="11" t="str">
        <f>IF(DATAPENDUDUK!H372="","",DATAPENDUDUK!H372)</f>
        <v/>
      </c>
      <c r="G372" s="10" t="str">
        <f t="shared" ca="1" si="10"/>
        <v/>
      </c>
      <c r="H372" t="str">
        <f t="shared" ca="1" si="11"/>
        <v/>
      </c>
    </row>
    <row r="373" spans="1:8" x14ac:dyDescent="0.25">
      <c r="A373" s="10" t="str">
        <f>IF(DATAPENDUDUK!A373="","",DATAPENDUDUK!A373)</f>
        <v/>
      </c>
      <c r="B373" s="13" t="str">
        <f>IF(DATAPENDUDUK!B373="","",DATAPENDUDUK!B373)</f>
        <v/>
      </c>
      <c r="C373" s="10" t="str">
        <f>IF(DATAPENDUDUK!C373="","",DATAPENDUDUK!C373)</f>
        <v/>
      </c>
      <c r="D373" s="10" t="str">
        <f>IF(DATAPENDUDUK!E373="","",DATAPENDUDUK!E373)</f>
        <v/>
      </c>
      <c r="E373" s="10" t="str">
        <f>IF(DATAPENDUDUK!F373="","",DATAPENDUDUK!F373)</f>
        <v/>
      </c>
      <c r="F373" s="11" t="str">
        <f>IF(DATAPENDUDUK!H373="","",DATAPENDUDUK!H373)</f>
        <v/>
      </c>
      <c r="G373" s="10" t="str">
        <f t="shared" ca="1" si="10"/>
        <v/>
      </c>
      <c r="H373" t="str">
        <f t="shared" ca="1" si="11"/>
        <v/>
      </c>
    </row>
    <row r="374" spans="1:8" x14ac:dyDescent="0.25">
      <c r="A374" s="10" t="str">
        <f>IF(DATAPENDUDUK!A374="","",DATAPENDUDUK!A374)</f>
        <v/>
      </c>
      <c r="B374" s="13" t="str">
        <f>IF(DATAPENDUDUK!B374="","",DATAPENDUDUK!B374)</f>
        <v/>
      </c>
      <c r="C374" s="10" t="str">
        <f>IF(DATAPENDUDUK!C374="","",DATAPENDUDUK!C374)</f>
        <v/>
      </c>
      <c r="D374" s="10" t="str">
        <f>IF(DATAPENDUDUK!E374="","",DATAPENDUDUK!E374)</f>
        <v/>
      </c>
      <c r="E374" s="10" t="str">
        <f>IF(DATAPENDUDUK!F374="","",DATAPENDUDUK!F374)</f>
        <v/>
      </c>
      <c r="F374" s="11" t="str">
        <f>IF(DATAPENDUDUK!H374="","",DATAPENDUDUK!H374)</f>
        <v/>
      </c>
      <c r="G374" s="10" t="str">
        <f t="shared" ca="1" si="10"/>
        <v/>
      </c>
      <c r="H374" t="str">
        <f t="shared" ca="1" si="11"/>
        <v/>
      </c>
    </row>
    <row r="375" spans="1:8" x14ac:dyDescent="0.25">
      <c r="A375" s="10" t="str">
        <f>IF(DATAPENDUDUK!A375="","",DATAPENDUDUK!A375)</f>
        <v/>
      </c>
      <c r="B375" s="13" t="str">
        <f>IF(DATAPENDUDUK!B375="","",DATAPENDUDUK!B375)</f>
        <v/>
      </c>
      <c r="C375" s="10" t="str">
        <f>IF(DATAPENDUDUK!C375="","",DATAPENDUDUK!C375)</f>
        <v/>
      </c>
      <c r="D375" s="10" t="str">
        <f>IF(DATAPENDUDUK!E375="","",DATAPENDUDUK!E375)</f>
        <v/>
      </c>
      <c r="E375" s="10" t="str">
        <f>IF(DATAPENDUDUK!F375="","",DATAPENDUDUK!F375)</f>
        <v/>
      </c>
      <c r="F375" s="11" t="str">
        <f>IF(DATAPENDUDUK!H375="","",DATAPENDUDUK!H375)</f>
        <v/>
      </c>
      <c r="G375" s="10" t="str">
        <f t="shared" ca="1" si="10"/>
        <v/>
      </c>
      <c r="H375" t="str">
        <f t="shared" ca="1" si="11"/>
        <v/>
      </c>
    </row>
    <row r="376" spans="1:8" x14ac:dyDescent="0.25">
      <c r="A376" s="10" t="str">
        <f>IF(DATAPENDUDUK!A376="","",DATAPENDUDUK!A376)</f>
        <v/>
      </c>
      <c r="B376" s="13" t="str">
        <f>IF(DATAPENDUDUK!B376="","",DATAPENDUDUK!B376)</f>
        <v/>
      </c>
      <c r="C376" s="10" t="str">
        <f>IF(DATAPENDUDUK!C376="","",DATAPENDUDUK!C376)</f>
        <v/>
      </c>
      <c r="D376" s="10" t="str">
        <f>IF(DATAPENDUDUK!E376="","",DATAPENDUDUK!E376)</f>
        <v/>
      </c>
      <c r="E376" s="10" t="str">
        <f>IF(DATAPENDUDUK!F376="","",DATAPENDUDUK!F376)</f>
        <v/>
      </c>
      <c r="F376" s="11" t="str">
        <f>IF(DATAPENDUDUK!H376="","",DATAPENDUDUK!H376)</f>
        <v/>
      </c>
      <c r="G376" s="10" t="str">
        <f t="shared" ca="1" si="10"/>
        <v/>
      </c>
      <c r="H376" t="str">
        <f t="shared" ca="1" si="11"/>
        <v/>
      </c>
    </row>
    <row r="377" spans="1:8" x14ac:dyDescent="0.25">
      <c r="A377" s="10" t="str">
        <f>IF(DATAPENDUDUK!A377="","",DATAPENDUDUK!A377)</f>
        <v/>
      </c>
      <c r="B377" s="13" t="str">
        <f>IF(DATAPENDUDUK!B377="","",DATAPENDUDUK!B377)</f>
        <v/>
      </c>
      <c r="C377" s="10" t="str">
        <f>IF(DATAPENDUDUK!C377="","",DATAPENDUDUK!C377)</f>
        <v/>
      </c>
      <c r="D377" s="10" t="str">
        <f>IF(DATAPENDUDUK!E377="","",DATAPENDUDUK!E377)</f>
        <v/>
      </c>
      <c r="E377" s="10" t="str">
        <f>IF(DATAPENDUDUK!F377="","",DATAPENDUDUK!F377)</f>
        <v/>
      </c>
      <c r="F377" s="11" t="str">
        <f>IF(DATAPENDUDUK!H377="","",DATAPENDUDUK!H377)</f>
        <v/>
      </c>
      <c r="G377" s="10" t="str">
        <f t="shared" ca="1" si="10"/>
        <v/>
      </c>
      <c r="H377" t="str">
        <f t="shared" ca="1" si="11"/>
        <v/>
      </c>
    </row>
    <row r="378" spans="1:8" x14ac:dyDescent="0.25">
      <c r="A378" s="10" t="str">
        <f>IF(DATAPENDUDUK!A378="","",DATAPENDUDUK!A378)</f>
        <v/>
      </c>
      <c r="B378" s="13" t="str">
        <f>IF(DATAPENDUDUK!B378="","",DATAPENDUDUK!B378)</f>
        <v/>
      </c>
      <c r="C378" s="10" t="str">
        <f>IF(DATAPENDUDUK!C378="","",DATAPENDUDUK!C378)</f>
        <v/>
      </c>
      <c r="D378" s="10" t="str">
        <f>IF(DATAPENDUDUK!E378="","",DATAPENDUDUK!E378)</f>
        <v/>
      </c>
      <c r="E378" s="10" t="str">
        <f>IF(DATAPENDUDUK!F378="","",DATAPENDUDUK!F378)</f>
        <v/>
      </c>
      <c r="F378" s="11" t="str">
        <f>IF(DATAPENDUDUK!H378="","",DATAPENDUDUK!H378)</f>
        <v/>
      </c>
      <c r="G378" s="10" t="str">
        <f t="shared" ca="1" si="10"/>
        <v/>
      </c>
      <c r="H378" t="str">
        <f t="shared" ca="1" si="11"/>
        <v/>
      </c>
    </row>
    <row r="379" spans="1:8" x14ac:dyDescent="0.25">
      <c r="A379" s="10" t="str">
        <f>IF(DATAPENDUDUK!A379="","",DATAPENDUDUK!A379)</f>
        <v/>
      </c>
      <c r="B379" s="13" t="str">
        <f>IF(DATAPENDUDUK!B379="","",DATAPENDUDUK!B379)</f>
        <v/>
      </c>
      <c r="C379" s="10" t="str">
        <f>IF(DATAPENDUDUK!C379="","",DATAPENDUDUK!C379)</f>
        <v/>
      </c>
      <c r="D379" s="10" t="str">
        <f>IF(DATAPENDUDUK!E379="","",DATAPENDUDUK!E379)</f>
        <v/>
      </c>
      <c r="E379" s="10" t="str">
        <f>IF(DATAPENDUDUK!F379="","",DATAPENDUDUK!F379)</f>
        <v/>
      </c>
      <c r="F379" s="11" t="str">
        <f>IF(DATAPENDUDUK!H379="","",DATAPENDUDUK!H379)</f>
        <v/>
      </c>
      <c r="G379" s="10" t="str">
        <f t="shared" ca="1" si="10"/>
        <v/>
      </c>
      <c r="H379" t="str">
        <f t="shared" ca="1" si="11"/>
        <v/>
      </c>
    </row>
    <row r="380" spans="1:8" x14ac:dyDescent="0.25">
      <c r="A380" s="10" t="str">
        <f>IF(DATAPENDUDUK!A380="","",DATAPENDUDUK!A380)</f>
        <v/>
      </c>
      <c r="B380" s="13" t="str">
        <f>IF(DATAPENDUDUK!B380="","",DATAPENDUDUK!B380)</f>
        <v/>
      </c>
      <c r="C380" s="10" t="str">
        <f>IF(DATAPENDUDUK!C380="","",DATAPENDUDUK!C380)</f>
        <v/>
      </c>
      <c r="D380" s="10" t="str">
        <f>IF(DATAPENDUDUK!E380="","",DATAPENDUDUK!E380)</f>
        <v/>
      </c>
      <c r="E380" s="10" t="str">
        <f>IF(DATAPENDUDUK!F380="","",DATAPENDUDUK!F380)</f>
        <v/>
      </c>
      <c r="F380" s="11" t="str">
        <f>IF(DATAPENDUDUK!H380="","",DATAPENDUDUK!H380)</f>
        <v/>
      </c>
      <c r="G380" s="10" t="str">
        <f t="shared" ca="1" si="10"/>
        <v/>
      </c>
      <c r="H380" t="str">
        <f t="shared" ca="1" si="11"/>
        <v/>
      </c>
    </row>
    <row r="381" spans="1:8" x14ac:dyDescent="0.25">
      <c r="A381" s="10" t="str">
        <f>IF(DATAPENDUDUK!A381="","",DATAPENDUDUK!A381)</f>
        <v/>
      </c>
      <c r="B381" s="13" t="str">
        <f>IF(DATAPENDUDUK!B381="","",DATAPENDUDUK!B381)</f>
        <v/>
      </c>
      <c r="C381" s="10" t="str">
        <f>IF(DATAPENDUDUK!C381="","",DATAPENDUDUK!C381)</f>
        <v/>
      </c>
      <c r="D381" s="10" t="str">
        <f>IF(DATAPENDUDUK!E381="","",DATAPENDUDUK!E381)</f>
        <v/>
      </c>
      <c r="E381" s="10" t="str">
        <f>IF(DATAPENDUDUK!F381="","",DATAPENDUDUK!F381)</f>
        <v/>
      </c>
      <c r="F381" s="11" t="str">
        <f>IF(DATAPENDUDUK!H381="","",DATAPENDUDUK!H381)</f>
        <v/>
      </c>
      <c r="G381" s="10" t="str">
        <f t="shared" ca="1" si="10"/>
        <v/>
      </c>
      <c r="H381" t="str">
        <f t="shared" ca="1" si="11"/>
        <v/>
      </c>
    </row>
    <row r="382" spans="1:8" x14ac:dyDescent="0.25">
      <c r="A382" s="10" t="str">
        <f>IF(DATAPENDUDUK!A382="","",DATAPENDUDUK!A382)</f>
        <v/>
      </c>
      <c r="B382" s="13" t="str">
        <f>IF(DATAPENDUDUK!B382="","",DATAPENDUDUK!B382)</f>
        <v/>
      </c>
      <c r="C382" s="10" t="str">
        <f>IF(DATAPENDUDUK!C382="","",DATAPENDUDUK!C382)</f>
        <v/>
      </c>
      <c r="D382" s="10" t="str">
        <f>IF(DATAPENDUDUK!E382="","",DATAPENDUDUK!E382)</f>
        <v/>
      </c>
      <c r="E382" s="10" t="str">
        <f>IF(DATAPENDUDUK!F382="","",DATAPENDUDUK!F382)</f>
        <v/>
      </c>
      <c r="F382" s="11" t="str">
        <f>IF(DATAPENDUDUK!H382="","",DATAPENDUDUK!H382)</f>
        <v/>
      </c>
      <c r="G382" s="10" t="str">
        <f t="shared" ca="1" si="10"/>
        <v/>
      </c>
      <c r="H382" t="str">
        <f t="shared" ca="1" si="11"/>
        <v/>
      </c>
    </row>
    <row r="383" spans="1:8" x14ac:dyDescent="0.25">
      <c r="A383" s="10" t="str">
        <f>IF(DATAPENDUDUK!A383="","",DATAPENDUDUK!A383)</f>
        <v/>
      </c>
      <c r="B383" s="13" t="str">
        <f>IF(DATAPENDUDUK!B383="","",DATAPENDUDUK!B383)</f>
        <v/>
      </c>
      <c r="C383" s="10" t="str">
        <f>IF(DATAPENDUDUK!C383="","",DATAPENDUDUK!C383)</f>
        <v/>
      </c>
      <c r="D383" s="10" t="str">
        <f>IF(DATAPENDUDUK!E383="","",DATAPENDUDUK!E383)</f>
        <v/>
      </c>
      <c r="E383" s="10" t="str">
        <f>IF(DATAPENDUDUK!F383="","",DATAPENDUDUK!F383)</f>
        <v/>
      </c>
      <c r="F383" s="11" t="str">
        <f>IF(DATAPENDUDUK!H383="","",DATAPENDUDUK!H383)</f>
        <v/>
      </c>
      <c r="G383" s="10" t="str">
        <f t="shared" ca="1" si="10"/>
        <v/>
      </c>
      <c r="H383" t="str">
        <f t="shared" ca="1" si="11"/>
        <v/>
      </c>
    </row>
    <row r="384" spans="1:8" x14ac:dyDescent="0.25">
      <c r="A384" s="10" t="str">
        <f>IF(DATAPENDUDUK!A384="","",DATAPENDUDUK!A384)</f>
        <v/>
      </c>
      <c r="B384" s="13" t="str">
        <f>IF(DATAPENDUDUK!B384="","",DATAPENDUDUK!B384)</f>
        <v/>
      </c>
      <c r="C384" s="10" t="str">
        <f>IF(DATAPENDUDUK!C384="","",DATAPENDUDUK!C384)</f>
        <v/>
      </c>
      <c r="D384" s="10" t="str">
        <f>IF(DATAPENDUDUK!E384="","",DATAPENDUDUK!E384)</f>
        <v/>
      </c>
      <c r="E384" s="10" t="str">
        <f>IF(DATAPENDUDUK!F384="","",DATAPENDUDUK!F384)</f>
        <v/>
      </c>
      <c r="F384" s="11" t="str">
        <f>IF(DATAPENDUDUK!H384="","",DATAPENDUDUK!H384)</f>
        <v/>
      </c>
      <c r="G384" s="10" t="str">
        <f t="shared" ca="1" si="10"/>
        <v/>
      </c>
      <c r="H384" t="str">
        <f t="shared" ca="1" si="11"/>
        <v/>
      </c>
    </row>
    <row r="385" spans="1:8" x14ac:dyDescent="0.25">
      <c r="A385" s="10" t="str">
        <f>IF(DATAPENDUDUK!A385="","",DATAPENDUDUK!A385)</f>
        <v/>
      </c>
      <c r="B385" s="13" t="str">
        <f>IF(DATAPENDUDUK!B385="","",DATAPENDUDUK!B385)</f>
        <v/>
      </c>
      <c r="C385" s="10" t="str">
        <f>IF(DATAPENDUDUK!C385="","",DATAPENDUDUK!C385)</f>
        <v/>
      </c>
      <c r="D385" s="10" t="str">
        <f>IF(DATAPENDUDUK!E385="","",DATAPENDUDUK!E385)</f>
        <v/>
      </c>
      <c r="E385" s="10" t="str">
        <f>IF(DATAPENDUDUK!F385="","",DATAPENDUDUK!F385)</f>
        <v/>
      </c>
      <c r="F385" s="11" t="str">
        <f>IF(DATAPENDUDUK!H385="","",DATAPENDUDUK!H385)</f>
        <v/>
      </c>
      <c r="G385" s="10" t="str">
        <f t="shared" ca="1" si="10"/>
        <v/>
      </c>
      <c r="H385" t="str">
        <f t="shared" ca="1" si="11"/>
        <v/>
      </c>
    </row>
    <row r="386" spans="1:8" x14ac:dyDescent="0.25">
      <c r="A386" s="10" t="str">
        <f>IF(DATAPENDUDUK!A386="","",DATAPENDUDUK!A386)</f>
        <v/>
      </c>
      <c r="B386" s="13" t="str">
        <f>IF(DATAPENDUDUK!B386="","",DATAPENDUDUK!B386)</f>
        <v/>
      </c>
      <c r="C386" s="10" t="str">
        <f>IF(DATAPENDUDUK!C386="","",DATAPENDUDUK!C386)</f>
        <v/>
      </c>
      <c r="D386" s="10" t="str">
        <f>IF(DATAPENDUDUK!E386="","",DATAPENDUDUK!E386)</f>
        <v/>
      </c>
      <c r="E386" s="10" t="str">
        <f>IF(DATAPENDUDUK!F386="","",DATAPENDUDUK!F386)</f>
        <v/>
      </c>
      <c r="F386" s="11" t="str">
        <f>IF(DATAPENDUDUK!H386="","",DATAPENDUDUK!H386)</f>
        <v/>
      </c>
      <c r="G386" s="10" t="str">
        <f t="shared" ca="1" si="10"/>
        <v/>
      </c>
      <c r="H386" t="str">
        <f t="shared" ca="1" si="11"/>
        <v/>
      </c>
    </row>
    <row r="387" spans="1:8" x14ac:dyDescent="0.25">
      <c r="A387" s="10" t="str">
        <f>IF(DATAPENDUDUK!A387="","",DATAPENDUDUK!A387)</f>
        <v/>
      </c>
      <c r="B387" s="13" t="str">
        <f>IF(DATAPENDUDUK!B387="","",DATAPENDUDUK!B387)</f>
        <v/>
      </c>
      <c r="C387" s="10" t="str">
        <f>IF(DATAPENDUDUK!C387="","",DATAPENDUDUK!C387)</f>
        <v/>
      </c>
      <c r="D387" s="10" t="str">
        <f>IF(DATAPENDUDUK!E387="","",DATAPENDUDUK!E387)</f>
        <v/>
      </c>
      <c r="E387" s="10" t="str">
        <f>IF(DATAPENDUDUK!F387="","",DATAPENDUDUK!F387)</f>
        <v/>
      </c>
      <c r="F387" s="11" t="str">
        <f>IF(DATAPENDUDUK!H387="","",DATAPENDUDUK!H387)</f>
        <v/>
      </c>
      <c r="G387" s="10" t="str">
        <f t="shared" ca="1" si="10"/>
        <v/>
      </c>
      <c r="H387" t="str">
        <f t="shared" ca="1" si="11"/>
        <v/>
      </c>
    </row>
    <row r="388" spans="1:8" x14ac:dyDescent="0.25">
      <c r="A388" s="10" t="str">
        <f>IF(DATAPENDUDUK!A388="","",DATAPENDUDUK!A388)</f>
        <v/>
      </c>
      <c r="B388" s="13" t="str">
        <f>IF(DATAPENDUDUK!B388="","",DATAPENDUDUK!B388)</f>
        <v/>
      </c>
      <c r="C388" s="10" t="str">
        <f>IF(DATAPENDUDUK!C388="","",DATAPENDUDUK!C388)</f>
        <v/>
      </c>
      <c r="D388" s="10" t="str">
        <f>IF(DATAPENDUDUK!E388="","",DATAPENDUDUK!E388)</f>
        <v/>
      </c>
      <c r="E388" s="10" t="str">
        <f>IF(DATAPENDUDUK!F388="","",DATAPENDUDUK!F388)</f>
        <v/>
      </c>
      <c r="F388" s="11" t="str">
        <f>IF(DATAPENDUDUK!H388="","",DATAPENDUDUK!H388)</f>
        <v/>
      </c>
      <c r="G388" s="10" t="str">
        <f t="shared" ca="1" si="10"/>
        <v/>
      </c>
      <c r="H388" t="str">
        <f t="shared" ca="1" si="11"/>
        <v/>
      </c>
    </row>
    <row r="389" spans="1:8" x14ac:dyDescent="0.25">
      <c r="A389" s="10" t="str">
        <f>IF(DATAPENDUDUK!A389="","",DATAPENDUDUK!A389)</f>
        <v/>
      </c>
      <c r="B389" s="13" t="str">
        <f>IF(DATAPENDUDUK!B389="","",DATAPENDUDUK!B389)</f>
        <v/>
      </c>
      <c r="C389" s="10" t="str">
        <f>IF(DATAPENDUDUK!C389="","",DATAPENDUDUK!C389)</f>
        <v/>
      </c>
      <c r="D389" s="10" t="str">
        <f>IF(DATAPENDUDUK!E389="","",DATAPENDUDUK!E389)</f>
        <v/>
      </c>
      <c r="E389" s="10" t="str">
        <f>IF(DATAPENDUDUK!F389="","",DATAPENDUDUK!F389)</f>
        <v/>
      </c>
      <c r="F389" s="11" t="str">
        <f>IF(DATAPENDUDUK!H389="","",DATAPENDUDUK!H389)</f>
        <v/>
      </c>
      <c r="G389" s="10" t="str">
        <f t="shared" ca="1" si="10"/>
        <v/>
      </c>
      <c r="H389" t="str">
        <f t="shared" ca="1" si="11"/>
        <v/>
      </c>
    </row>
    <row r="390" spans="1:8" x14ac:dyDescent="0.25">
      <c r="A390" s="10" t="str">
        <f>IF(DATAPENDUDUK!A390="","",DATAPENDUDUK!A390)</f>
        <v/>
      </c>
      <c r="B390" s="13" t="str">
        <f>IF(DATAPENDUDUK!B390="","",DATAPENDUDUK!B390)</f>
        <v/>
      </c>
      <c r="C390" s="10" t="str">
        <f>IF(DATAPENDUDUK!C390="","",DATAPENDUDUK!C390)</f>
        <v/>
      </c>
      <c r="D390" s="10" t="str">
        <f>IF(DATAPENDUDUK!E390="","",DATAPENDUDUK!E390)</f>
        <v/>
      </c>
      <c r="E390" s="10" t="str">
        <f>IF(DATAPENDUDUK!F390="","",DATAPENDUDUK!F390)</f>
        <v/>
      </c>
      <c r="F390" s="11" t="str">
        <f>IF(DATAPENDUDUK!H390="","",DATAPENDUDUK!H390)</f>
        <v/>
      </c>
      <c r="G390" s="10" t="str">
        <f t="shared" ref="G390:G453" ca="1" si="12">IFERROR(DATEDIF(F390,TODAY(),"Y"),"")</f>
        <v/>
      </c>
      <c r="H390" t="str">
        <f t="shared" ref="H390:H453" ca="1" si="13">IF(G390="","",IF(G390&lt;=1,"Bayi",IF(G390&lt;=10,"Anak-Anak",IF(G390&lt;=19,"Remaja",IF(G390&lt;=60,"Dewasa",IF(G390&gt;60,"Lanjut Usia"))))))</f>
        <v/>
      </c>
    </row>
    <row r="391" spans="1:8" x14ac:dyDescent="0.25">
      <c r="A391" s="10" t="str">
        <f>IF(DATAPENDUDUK!A391="","",DATAPENDUDUK!A391)</f>
        <v/>
      </c>
      <c r="B391" s="13" t="str">
        <f>IF(DATAPENDUDUK!B391="","",DATAPENDUDUK!B391)</f>
        <v/>
      </c>
      <c r="C391" s="10" t="str">
        <f>IF(DATAPENDUDUK!C391="","",DATAPENDUDUK!C391)</f>
        <v/>
      </c>
      <c r="D391" s="10" t="str">
        <f>IF(DATAPENDUDUK!E391="","",DATAPENDUDUK!E391)</f>
        <v/>
      </c>
      <c r="E391" s="10" t="str">
        <f>IF(DATAPENDUDUK!F391="","",DATAPENDUDUK!F391)</f>
        <v/>
      </c>
      <c r="F391" s="11" t="str">
        <f>IF(DATAPENDUDUK!H391="","",DATAPENDUDUK!H391)</f>
        <v/>
      </c>
      <c r="G391" s="10" t="str">
        <f t="shared" ca="1" si="12"/>
        <v/>
      </c>
      <c r="H391" t="str">
        <f t="shared" ca="1" si="13"/>
        <v/>
      </c>
    </row>
    <row r="392" spans="1:8" x14ac:dyDescent="0.25">
      <c r="A392" s="10" t="str">
        <f>IF(DATAPENDUDUK!A392="","",DATAPENDUDUK!A392)</f>
        <v/>
      </c>
      <c r="B392" s="13" t="str">
        <f>IF(DATAPENDUDUK!B392="","",DATAPENDUDUK!B392)</f>
        <v/>
      </c>
      <c r="C392" s="10" t="str">
        <f>IF(DATAPENDUDUK!C392="","",DATAPENDUDUK!C392)</f>
        <v/>
      </c>
      <c r="D392" s="10" t="str">
        <f>IF(DATAPENDUDUK!E392="","",DATAPENDUDUK!E392)</f>
        <v/>
      </c>
      <c r="E392" s="10" t="str">
        <f>IF(DATAPENDUDUK!F392="","",DATAPENDUDUK!F392)</f>
        <v/>
      </c>
      <c r="F392" s="11" t="str">
        <f>IF(DATAPENDUDUK!H392="","",DATAPENDUDUK!H392)</f>
        <v/>
      </c>
      <c r="G392" s="10" t="str">
        <f t="shared" ca="1" si="12"/>
        <v/>
      </c>
      <c r="H392" t="str">
        <f t="shared" ca="1" si="13"/>
        <v/>
      </c>
    </row>
    <row r="393" spans="1:8" x14ac:dyDescent="0.25">
      <c r="A393" s="10" t="str">
        <f>IF(DATAPENDUDUK!A393="","",DATAPENDUDUK!A393)</f>
        <v/>
      </c>
      <c r="B393" s="13" t="str">
        <f>IF(DATAPENDUDUK!B393="","",DATAPENDUDUK!B393)</f>
        <v/>
      </c>
      <c r="C393" s="10" t="str">
        <f>IF(DATAPENDUDUK!C393="","",DATAPENDUDUK!C393)</f>
        <v/>
      </c>
      <c r="D393" s="10" t="str">
        <f>IF(DATAPENDUDUK!E393="","",DATAPENDUDUK!E393)</f>
        <v/>
      </c>
      <c r="E393" s="10" t="str">
        <f>IF(DATAPENDUDUK!F393="","",DATAPENDUDUK!F393)</f>
        <v/>
      </c>
      <c r="F393" s="11" t="str">
        <f>IF(DATAPENDUDUK!H393="","",DATAPENDUDUK!H393)</f>
        <v/>
      </c>
      <c r="G393" s="10" t="str">
        <f t="shared" ca="1" si="12"/>
        <v/>
      </c>
      <c r="H393" t="str">
        <f t="shared" ca="1" si="13"/>
        <v/>
      </c>
    </row>
    <row r="394" spans="1:8" x14ac:dyDescent="0.25">
      <c r="A394" s="10" t="str">
        <f>IF(DATAPENDUDUK!A394="","",DATAPENDUDUK!A394)</f>
        <v/>
      </c>
      <c r="B394" s="13" t="str">
        <f>IF(DATAPENDUDUK!B394="","",DATAPENDUDUK!B394)</f>
        <v/>
      </c>
      <c r="C394" s="10" t="str">
        <f>IF(DATAPENDUDUK!C394="","",DATAPENDUDUK!C394)</f>
        <v/>
      </c>
      <c r="D394" s="10" t="str">
        <f>IF(DATAPENDUDUK!E394="","",DATAPENDUDUK!E394)</f>
        <v/>
      </c>
      <c r="E394" s="10" t="str">
        <f>IF(DATAPENDUDUK!F394="","",DATAPENDUDUK!F394)</f>
        <v/>
      </c>
      <c r="F394" s="11" t="str">
        <f>IF(DATAPENDUDUK!H394="","",DATAPENDUDUK!H394)</f>
        <v/>
      </c>
      <c r="G394" s="10" t="str">
        <f t="shared" ca="1" si="12"/>
        <v/>
      </c>
      <c r="H394" t="str">
        <f t="shared" ca="1" si="13"/>
        <v/>
      </c>
    </row>
    <row r="395" spans="1:8" x14ac:dyDescent="0.25">
      <c r="A395" s="10" t="str">
        <f>IF(DATAPENDUDUK!A395="","",DATAPENDUDUK!A395)</f>
        <v/>
      </c>
      <c r="B395" s="13" t="str">
        <f>IF(DATAPENDUDUK!B395="","",DATAPENDUDUK!B395)</f>
        <v/>
      </c>
      <c r="C395" s="10" t="str">
        <f>IF(DATAPENDUDUK!C395="","",DATAPENDUDUK!C395)</f>
        <v/>
      </c>
      <c r="D395" s="10" t="str">
        <f>IF(DATAPENDUDUK!E395="","",DATAPENDUDUK!E395)</f>
        <v/>
      </c>
      <c r="E395" s="10" t="str">
        <f>IF(DATAPENDUDUK!F395="","",DATAPENDUDUK!F395)</f>
        <v/>
      </c>
      <c r="F395" s="11" t="str">
        <f>IF(DATAPENDUDUK!H395="","",DATAPENDUDUK!H395)</f>
        <v/>
      </c>
      <c r="G395" s="10" t="str">
        <f t="shared" ca="1" si="12"/>
        <v/>
      </c>
      <c r="H395" t="str">
        <f t="shared" ca="1" si="13"/>
        <v/>
      </c>
    </row>
    <row r="396" spans="1:8" x14ac:dyDescent="0.25">
      <c r="A396" s="10" t="str">
        <f>IF(DATAPENDUDUK!A396="","",DATAPENDUDUK!A396)</f>
        <v/>
      </c>
      <c r="B396" s="13" t="str">
        <f>IF(DATAPENDUDUK!B396="","",DATAPENDUDUK!B396)</f>
        <v/>
      </c>
      <c r="C396" s="10" t="str">
        <f>IF(DATAPENDUDUK!C396="","",DATAPENDUDUK!C396)</f>
        <v/>
      </c>
      <c r="D396" s="10" t="str">
        <f>IF(DATAPENDUDUK!E396="","",DATAPENDUDUK!E396)</f>
        <v/>
      </c>
      <c r="E396" s="10" t="str">
        <f>IF(DATAPENDUDUK!F396="","",DATAPENDUDUK!F396)</f>
        <v/>
      </c>
      <c r="F396" s="11" t="str">
        <f>IF(DATAPENDUDUK!H396="","",DATAPENDUDUK!H396)</f>
        <v/>
      </c>
      <c r="G396" s="10" t="str">
        <f t="shared" ca="1" si="12"/>
        <v/>
      </c>
      <c r="H396" t="str">
        <f t="shared" ca="1" si="13"/>
        <v/>
      </c>
    </row>
    <row r="397" spans="1:8" x14ac:dyDescent="0.25">
      <c r="A397" s="10" t="str">
        <f>IF(DATAPENDUDUK!A397="","",DATAPENDUDUK!A397)</f>
        <v/>
      </c>
      <c r="B397" s="13" t="str">
        <f>IF(DATAPENDUDUK!B397="","",DATAPENDUDUK!B397)</f>
        <v/>
      </c>
      <c r="C397" s="10" t="str">
        <f>IF(DATAPENDUDUK!C397="","",DATAPENDUDUK!C397)</f>
        <v/>
      </c>
      <c r="D397" s="10" t="str">
        <f>IF(DATAPENDUDUK!E397="","",DATAPENDUDUK!E397)</f>
        <v/>
      </c>
      <c r="E397" s="10" t="str">
        <f>IF(DATAPENDUDUK!F397="","",DATAPENDUDUK!F397)</f>
        <v/>
      </c>
      <c r="F397" s="11" t="str">
        <f>IF(DATAPENDUDUK!H397="","",DATAPENDUDUK!H397)</f>
        <v/>
      </c>
      <c r="G397" s="10" t="str">
        <f t="shared" ca="1" si="12"/>
        <v/>
      </c>
      <c r="H397" t="str">
        <f t="shared" ca="1" si="13"/>
        <v/>
      </c>
    </row>
    <row r="398" spans="1:8" x14ac:dyDescent="0.25">
      <c r="A398" s="10" t="str">
        <f>IF(DATAPENDUDUK!A398="","",DATAPENDUDUK!A398)</f>
        <v/>
      </c>
      <c r="B398" s="13" t="str">
        <f>IF(DATAPENDUDUK!B398="","",DATAPENDUDUK!B398)</f>
        <v/>
      </c>
      <c r="C398" s="10" t="str">
        <f>IF(DATAPENDUDUK!C398="","",DATAPENDUDUK!C398)</f>
        <v/>
      </c>
      <c r="D398" s="10" t="str">
        <f>IF(DATAPENDUDUK!E398="","",DATAPENDUDUK!E398)</f>
        <v/>
      </c>
      <c r="E398" s="10" t="str">
        <f>IF(DATAPENDUDUK!F398="","",DATAPENDUDUK!F398)</f>
        <v/>
      </c>
      <c r="F398" s="11" t="str">
        <f>IF(DATAPENDUDUK!H398="","",DATAPENDUDUK!H398)</f>
        <v/>
      </c>
      <c r="G398" s="10" t="str">
        <f t="shared" ca="1" si="12"/>
        <v/>
      </c>
      <c r="H398" t="str">
        <f t="shared" ca="1" si="13"/>
        <v/>
      </c>
    </row>
    <row r="399" spans="1:8" x14ac:dyDescent="0.25">
      <c r="A399" s="10" t="str">
        <f>IF(DATAPENDUDUK!A399="","",DATAPENDUDUK!A399)</f>
        <v/>
      </c>
      <c r="B399" s="13" t="str">
        <f>IF(DATAPENDUDUK!B399="","",DATAPENDUDUK!B399)</f>
        <v/>
      </c>
      <c r="C399" s="10" t="str">
        <f>IF(DATAPENDUDUK!C399="","",DATAPENDUDUK!C399)</f>
        <v/>
      </c>
      <c r="D399" s="10" t="str">
        <f>IF(DATAPENDUDUK!E399="","",DATAPENDUDUK!E399)</f>
        <v/>
      </c>
      <c r="E399" s="10" t="str">
        <f>IF(DATAPENDUDUK!F399="","",DATAPENDUDUK!F399)</f>
        <v/>
      </c>
      <c r="F399" s="11" t="str">
        <f>IF(DATAPENDUDUK!H399="","",DATAPENDUDUK!H399)</f>
        <v/>
      </c>
      <c r="G399" s="10" t="str">
        <f t="shared" ca="1" si="12"/>
        <v/>
      </c>
      <c r="H399" t="str">
        <f t="shared" ca="1" si="13"/>
        <v/>
      </c>
    </row>
    <row r="400" spans="1:8" x14ac:dyDescent="0.25">
      <c r="A400" s="10" t="str">
        <f>IF(DATAPENDUDUK!A400="","",DATAPENDUDUK!A400)</f>
        <v/>
      </c>
      <c r="B400" s="13" t="str">
        <f>IF(DATAPENDUDUK!B400="","",DATAPENDUDUK!B400)</f>
        <v/>
      </c>
      <c r="C400" s="10" t="str">
        <f>IF(DATAPENDUDUK!C400="","",DATAPENDUDUK!C400)</f>
        <v/>
      </c>
      <c r="D400" s="10" t="str">
        <f>IF(DATAPENDUDUK!E400="","",DATAPENDUDUK!E400)</f>
        <v/>
      </c>
      <c r="E400" s="10" t="str">
        <f>IF(DATAPENDUDUK!F400="","",DATAPENDUDUK!F400)</f>
        <v/>
      </c>
      <c r="F400" s="11" t="str">
        <f>IF(DATAPENDUDUK!H400="","",DATAPENDUDUK!H400)</f>
        <v/>
      </c>
      <c r="G400" s="10" t="str">
        <f t="shared" ca="1" si="12"/>
        <v/>
      </c>
      <c r="H400" t="str">
        <f t="shared" ca="1" si="13"/>
        <v/>
      </c>
    </row>
    <row r="401" spans="1:8" x14ac:dyDescent="0.25">
      <c r="A401" s="10" t="str">
        <f>IF(DATAPENDUDUK!A401="","",DATAPENDUDUK!A401)</f>
        <v/>
      </c>
      <c r="B401" s="13" t="str">
        <f>IF(DATAPENDUDUK!B401="","",DATAPENDUDUK!B401)</f>
        <v/>
      </c>
      <c r="C401" s="10" t="str">
        <f>IF(DATAPENDUDUK!C401="","",DATAPENDUDUK!C401)</f>
        <v/>
      </c>
      <c r="D401" s="10" t="str">
        <f>IF(DATAPENDUDUK!E401="","",DATAPENDUDUK!E401)</f>
        <v/>
      </c>
      <c r="E401" s="10" t="str">
        <f>IF(DATAPENDUDUK!F401="","",DATAPENDUDUK!F401)</f>
        <v/>
      </c>
      <c r="F401" s="11" t="str">
        <f>IF(DATAPENDUDUK!H401="","",DATAPENDUDUK!H401)</f>
        <v/>
      </c>
      <c r="G401" s="10" t="str">
        <f t="shared" ca="1" si="12"/>
        <v/>
      </c>
      <c r="H401" t="str">
        <f t="shared" ca="1" si="13"/>
        <v/>
      </c>
    </row>
    <row r="402" spans="1:8" x14ac:dyDescent="0.25">
      <c r="A402" s="10" t="str">
        <f>IF(DATAPENDUDUK!A402="","",DATAPENDUDUK!A402)</f>
        <v/>
      </c>
      <c r="B402" s="13" t="str">
        <f>IF(DATAPENDUDUK!B402="","",DATAPENDUDUK!B402)</f>
        <v/>
      </c>
      <c r="C402" s="10" t="str">
        <f>IF(DATAPENDUDUK!C402="","",DATAPENDUDUK!C402)</f>
        <v/>
      </c>
      <c r="D402" s="10" t="str">
        <f>IF(DATAPENDUDUK!E402="","",DATAPENDUDUK!E402)</f>
        <v/>
      </c>
      <c r="E402" s="10" t="str">
        <f>IF(DATAPENDUDUK!F402="","",DATAPENDUDUK!F402)</f>
        <v/>
      </c>
      <c r="F402" s="11" t="str">
        <f>IF(DATAPENDUDUK!H402="","",DATAPENDUDUK!H402)</f>
        <v/>
      </c>
      <c r="G402" s="10" t="str">
        <f t="shared" ca="1" si="12"/>
        <v/>
      </c>
      <c r="H402" t="str">
        <f t="shared" ca="1" si="13"/>
        <v/>
      </c>
    </row>
    <row r="403" spans="1:8" x14ac:dyDescent="0.25">
      <c r="A403" s="10" t="str">
        <f>IF(DATAPENDUDUK!A403="","",DATAPENDUDUK!A403)</f>
        <v/>
      </c>
      <c r="B403" s="13" t="str">
        <f>IF(DATAPENDUDUK!B403="","",DATAPENDUDUK!B403)</f>
        <v/>
      </c>
      <c r="C403" s="10" t="str">
        <f>IF(DATAPENDUDUK!C403="","",DATAPENDUDUK!C403)</f>
        <v/>
      </c>
      <c r="D403" s="10" t="str">
        <f>IF(DATAPENDUDUK!E403="","",DATAPENDUDUK!E403)</f>
        <v/>
      </c>
      <c r="E403" s="10" t="str">
        <f>IF(DATAPENDUDUK!F403="","",DATAPENDUDUK!F403)</f>
        <v/>
      </c>
      <c r="F403" s="11" t="str">
        <f>IF(DATAPENDUDUK!H403="","",DATAPENDUDUK!H403)</f>
        <v/>
      </c>
      <c r="G403" s="10" t="str">
        <f t="shared" ca="1" si="12"/>
        <v/>
      </c>
      <c r="H403" t="str">
        <f t="shared" ca="1" si="13"/>
        <v/>
      </c>
    </row>
    <row r="404" spans="1:8" x14ac:dyDescent="0.25">
      <c r="A404" s="10" t="str">
        <f>IF(DATAPENDUDUK!A404="","",DATAPENDUDUK!A404)</f>
        <v/>
      </c>
      <c r="B404" s="13" t="str">
        <f>IF(DATAPENDUDUK!B404="","",DATAPENDUDUK!B404)</f>
        <v/>
      </c>
      <c r="C404" s="10" t="str">
        <f>IF(DATAPENDUDUK!C404="","",DATAPENDUDUK!C404)</f>
        <v/>
      </c>
      <c r="D404" s="10" t="str">
        <f>IF(DATAPENDUDUK!E404="","",DATAPENDUDUK!E404)</f>
        <v/>
      </c>
      <c r="E404" s="10" t="str">
        <f>IF(DATAPENDUDUK!F404="","",DATAPENDUDUK!F404)</f>
        <v/>
      </c>
      <c r="F404" s="11" t="str">
        <f>IF(DATAPENDUDUK!H404="","",DATAPENDUDUK!H404)</f>
        <v/>
      </c>
      <c r="G404" s="10" t="str">
        <f t="shared" ca="1" si="12"/>
        <v/>
      </c>
      <c r="H404" t="str">
        <f t="shared" ca="1" si="13"/>
        <v/>
      </c>
    </row>
    <row r="405" spans="1:8" x14ac:dyDescent="0.25">
      <c r="A405" s="10" t="str">
        <f>IF(DATAPENDUDUK!A405="","",DATAPENDUDUK!A405)</f>
        <v/>
      </c>
      <c r="B405" s="13" t="str">
        <f>IF(DATAPENDUDUK!B405="","",DATAPENDUDUK!B405)</f>
        <v/>
      </c>
      <c r="C405" s="10" t="str">
        <f>IF(DATAPENDUDUK!C405="","",DATAPENDUDUK!C405)</f>
        <v/>
      </c>
      <c r="D405" s="10" t="str">
        <f>IF(DATAPENDUDUK!E405="","",DATAPENDUDUK!E405)</f>
        <v/>
      </c>
      <c r="E405" s="10" t="str">
        <f>IF(DATAPENDUDUK!F405="","",DATAPENDUDUK!F405)</f>
        <v/>
      </c>
      <c r="F405" s="11" t="str">
        <f>IF(DATAPENDUDUK!H405="","",DATAPENDUDUK!H405)</f>
        <v/>
      </c>
      <c r="G405" s="10" t="str">
        <f t="shared" ca="1" si="12"/>
        <v/>
      </c>
      <c r="H405" t="str">
        <f t="shared" ca="1" si="13"/>
        <v/>
      </c>
    </row>
    <row r="406" spans="1:8" x14ac:dyDescent="0.25">
      <c r="A406" s="10" t="str">
        <f>IF(DATAPENDUDUK!A406="","",DATAPENDUDUK!A406)</f>
        <v/>
      </c>
      <c r="B406" s="13" t="str">
        <f>IF(DATAPENDUDUK!B406="","",DATAPENDUDUK!B406)</f>
        <v/>
      </c>
      <c r="C406" s="10" t="str">
        <f>IF(DATAPENDUDUK!C406="","",DATAPENDUDUK!C406)</f>
        <v/>
      </c>
      <c r="D406" s="10" t="str">
        <f>IF(DATAPENDUDUK!E406="","",DATAPENDUDUK!E406)</f>
        <v/>
      </c>
      <c r="E406" s="10" t="str">
        <f>IF(DATAPENDUDUK!F406="","",DATAPENDUDUK!F406)</f>
        <v/>
      </c>
      <c r="F406" s="11" t="str">
        <f>IF(DATAPENDUDUK!H406="","",DATAPENDUDUK!H406)</f>
        <v/>
      </c>
      <c r="G406" s="10" t="str">
        <f t="shared" ca="1" si="12"/>
        <v/>
      </c>
      <c r="H406" t="str">
        <f t="shared" ca="1" si="13"/>
        <v/>
      </c>
    </row>
    <row r="407" spans="1:8" x14ac:dyDescent="0.25">
      <c r="A407" s="10" t="str">
        <f>IF(DATAPENDUDUK!A407="","",DATAPENDUDUK!A407)</f>
        <v/>
      </c>
      <c r="B407" s="13" t="str">
        <f>IF(DATAPENDUDUK!B407="","",DATAPENDUDUK!B407)</f>
        <v/>
      </c>
      <c r="C407" s="10" t="str">
        <f>IF(DATAPENDUDUK!C407="","",DATAPENDUDUK!C407)</f>
        <v/>
      </c>
      <c r="D407" s="10" t="str">
        <f>IF(DATAPENDUDUK!E407="","",DATAPENDUDUK!E407)</f>
        <v/>
      </c>
      <c r="E407" s="10" t="str">
        <f>IF(DATAPENDUDUK!F407="","",DATAPENDUDUK!F407)</f>
        <v/>
      </c>
      <c r="F407" s="11" t="str">
        <f>IF(DATAPENDUDUK!H407="","",DATAPENDUDUK!H407)</f>
        <v/>
      </c>
      <c r="G407" s="10" t="str">
        <f t="shared" ca="1" si="12"/>
        <v/>
      </c>
      <c r="H407" t="str">
        <f t="shared" ca="1" si="13"/>
        <v/>
      </c>
    </row>
    <row r="408" spans="1:8" x14ac:dyDescent="0.25">
      <c r="A408" s="10" t="str">
        <f>IF(DATAPENDUDUK!A408="","",DATAPENDUDUK!A408)</f>
        <v/>
      </c>
      <c r="B408" s="13" t="str">
        <f>IF(DATAPENDUDUK!B408="","",DATAPENDUDUK!B408)</f>
        <v/>
      </c>
      <c r="C408" s="10" t="str">
        <f>IF(DATAPENDUDUK!C408="","",DATAPENDUDUK!C408)</f>
        <v/>
      </c>
      <c r="D408" s="10" t="str">
        <f>IF(DATAPENDUDUK!E408="","",DATAPENDUDUK!E408)</f>
        <v/>
      </c>
      <c r="E408" s="10" t="str">
        <f>IF(DATAPENDUDUK!F408="","",DATAPENDUDUK!F408)</f>
        <v/>
      </c>
      <c r="F408" s="11" t="str">
        <f>IF(DATAPENDUDUK!H408="","",DATAPENDUDUK!H408)</f>
        <v/>
      </c>
      <c r="G408" s="10" t="str">
        <f t="shared" ca="1" si="12"/>
        <v/>
      </c>
      <c r="H408" t="str">
        <f t="shared" ca="1" si="13"/>
        <v/>
      </c>
    </row>
    <row r="409" spans="1:8" x14ac:dyDescent="0.25">
      <c r="A409" s="10" t="str">
        <f>IF(DATAPENDUDUK!A409="","",DATAPENDUDUK!A409)</f>
        <v/>
      </c>
      <c r="B409" s="13" t="str">
        <f>IF(DATAPENDUDUK!B409="","",DATAPENDUDUK!B409)</f>
        <v/>
      </c>
      <c r="C409" s="10" t="str">
        <f>IF(DATAPENDUDUK!C409="","",DATAPENDUDUK!C409)</f>
        <v/>
      </c>
      <c r="D409" s="10" t="str">
        <f>IF(DATAPENDUDUK!E409="","",DATAPENDUDUK!E409)</f>
        <v/>
      </c>
      <c r="E409" s="10" t="str">
        <f>IF(DATAPENDUDUK!F409="","",DATAPENDUDUK!F409)</f>
        <v/>
      </c>
      <c r="F409" s="11" t="str">
        <f>IF(DATAPENDUDUK!H409="","",DATAPENDUDUK!H409)</f>
        <v/>
      </c>
      <c r="G409" s="10" t="str">
        <f t="shared" ca="1" si="12"/>
        <v/>
      </c>
      <c r="H409" t="str">
        <f t="shared" ca="1" si="13"/>
        <v/>
      </c>
    </row>
    <row r="410" spans="1:8" x14ac:dyDescent="0.25">
      <c r="A410" s="10" t="str">
        <f>IF(DATAPENDUDUK!A410="","",DATAPENDUDUK!A410)</f>
        <v/>
      </c>
      <c r="B410" s="13" t="str">
        <f>IF(DATAPENDUDUK!B410="","",DATAPENDUDUK!B410)</f>
        <v/>
      </c>
      <c r="C410" s="10" t="str">
        <f>IF(DATAPENDUDUK!C410="","",DATAPENDUDUK!C410)</f>
        <v/>
      </c>
      <c r="D410" s="10" t="str">
        <f>IF(DATAPENDUDUK!E410="","",DATAPENDUDUK!E410)</f>
        <v/>
      </c>
      <c r="E410" s="10" t="str">
        <f>IF(DATAPENDUDUK!F410="","",DATAPENDUDUK!F410)</f>
        <v/>
      </c>
      <c r="F410" s="11" t="str">
        <f>IF(DATAPENDUDUK!H410="","",DATAPENDUDUK!H410)</f>
        <v/>
      </c>
      <c r="G410" s="10" t="str">
        <f t="shared" ca="1" si="12"/>
        <v/>
      </c>
      <c r="H410" t="str">
        <f t="shared" ca="1" si="13"/>
        <v/>
      </c>
    </row>
    <row r="411" spans="1:8" x14ac:dyDescent="0.25">
      <c r="A411" s="10" t="str">
        <f>IF(DATAPENDUDUK!A411="","",DATAPENDUDUK!A411)</f>
        <v/>
      </c>
      <c r="B411" s="13" t="str">
        <f>IF(DATAPENDUDUK!B411="","",DATAPENDUDUK!B411)</f>
        <v/>
      </c>
      <c r="C411" s="10" t="str">
        <f>IF(DATAPENDUDUK!C411="","",DATAPENDUDUK!C411)</f>
        <v/>
      </c>
      <c r="D411" s="10" t="str">
        <f>IF(DATAPENDUDUK!E411="","",DATAPENDUDUK!E411)</f>
        <v/>
      </c>
      <c r="E411" s="10" t="str">
        <f>IF(DATAPENDUDUK!F411="","",DATAPENDUDUK!F411)</f>
        <v/>
      </c>
      <c r="F411" s="11" t="str">
        <f>IF(DATAPENDUDUK!H411="","",DATAPENDUDUK!H411)</f>
        <v/>
      </c>
      <c r="G411" s="10" t="str">
        <f t="shared" ca="1" si="12"/>
        <v/>
      </c>
      <c r="H411" t="str">
        <f t="shared" ca="1" si="13"/>
        <v/>
      </c>
    </row>
    <row r="412" spans="1:8" x14ac:dyDescent="0.25">
      <c r="A412" s="10" t="str">
        <f>IF(DATAPENDUDUK!A412="","",DATAPENDUDUK!A412)</f>
        <v/>
      </c>
      <c r="B412" s="13" t="str">
        <f>IF(DATAPENDUDUK!B412="","",DATAPENDUDUK!B412)</f>
        <v/>
      </c>
      <c r="C412" s="10" t="str">
        <f>IF(DATAPENDUDUK!C412="","",DATAPENDUDUK!C412)</f>
        <v/>
      </c>
      <c r="D412" s="10" t="str">
        <f>IF(DATAPENDUDUK!E412="","",DATAPENDUDUK!E412)</f>
        <v/>
      </c>
      <c r="E412" s="10" t="str">
        <f>IF(DATAPENDUDUK!F412="","",DATAPENDUDUK!F412)</f>
        <v/>
      </c>
      <c r="F412" s="11" t="str">
        <f>IF(DATAPENDUDUK!H412="","",DATAPENDUDUK!H412)</f>
        <v/>
      </c>
      <c r="G412" s="10" t="str">
        <f t="shared" ca="1" si="12"/>
        <v/>
      </c>
      <c r="H412" t="str">
        <f t="shared" ca="1" si="13"/>
        <v/>
      </c>
    </row>
    <row r="413" spans="1:8" x14ac:dyDescent="0.25">
      <c r="A413" s="10" t="str">
        <f>IF(DATAPENDUDUK!A413="","",DATAPENDUDUK!A413)</f>
        <v/>
      </c>
      <c r="B413" s="13" t="str">
        <f>IF(DATAPENDUDUK!B413="","",DATAPENDUDUK!B413)</f>
        <v/>
      </c>
      <c r="C413" s="10" t="str">
        <f>IF(DATAPENDUDUK!C413="","",DATAPENDUDUK!C413)</f>
        <v/>
      </c>
      <c r="D413" s="10" t="str">
        <f>IF(DATAPENDUDUK!E413="","",DATAPENDUDUK!E413)</f>
        <v/>
      </c>
      <c r="E413" s="10" t="str">
        <f>IF(DATAPENDUDUK!F413="","",DATAPENDUDUK!F413)</f>
        <v/>
      </c>
      <c r="F413" s="11" t="str">
        <f>IF(DATAPENDUDUK!H413="","",DATAPENDUDUK!H413)</f>
        <v/>
      </c>
      <c r="G413" s="10" t="str">
        <f t="shared" ca="1" si="12"/>
        <v/>
      </c>
      <c r="H413" t="str">
        <f t="shared" ca="1" si="13"/>
        <v/>
      </c>
    </row>
    <row r="414" spans="1:8" x14ac:dyDescent="0.25">
      <c r="A414" s="10" t="str">
        <f>IF(DATAPENDUDUK!A414="","",DATAPENDUDUK!A414)</f>
        <v/>
      </c>
      <c r="B414" s="13" t="str">
        <f>IF(DATAPENDUDUK!B414="","",DATAPENDUDUK!B414)</f>
        <v/>
      </c>
      <c r="C414" s="10" t="str">
        <f>IF(DATAPENDUDUK!C414="","",DATAPENDUDUK!C414)</f>
        <v/>
      </c>
      <c r="D414" s="10" t="str">
        <f>IF(DATAPENDUDUK!E414="","",DATAPENDUDUK!E414)</f>
        <v/>
      </c>
      <c r="E414" s="10" t="str">
        <f>IF(DATAPENDUDUK!F414="","",DATAPENDUDUK!F414)</f>
        <v/>
      </c>
      <c r="F414" s="11" t="str">
        <f>IF(DATAPENDUDUK!H414="","",DATAPENDUDUK!H414)</f>
        <v/>
      </c>
      <c r="G414" s="10" t="str">
        <f t="shared" ca="1" si="12"/>
        <v/>
      </c>
      <c r="H414" t="str">
        <f t="shared" ca="1" si="13"/>
        <v/>
      </c>
    </row>
    <row r="415" spans="1:8" x14ac:dyDescent="0.25">
      <c r="A415" s="10" t="str">
        <f>IF(DATAPENDUDUK!A415="","",DATAPENDUDUK!A415)</f>
        <v/>
      </c>
      <c r="B415" s="13" t="str">
        <f>IF(DATAPENDUDUK!B415="","",DATAPENDUDUK!B415)</f>
        <v/>
      </c>
      <c r="C415" s="10" t="str">
        <f>IF(DATAPENDUDUK!C415="","",DATAPENDUDUK!C415)</f>
        <v/>
      </c>
      <c r="D415" s="10" t="str">
        <f>IF(DATAPENDUDUK!E415="","",DATAPENDUDUK!E415)</f>
        <v/>
      </c>
      <c r="E415" s="10" t="str">
        <f>IF(DATAPENDUDUK!F415="","",DATAPENDUDUK!F415)</f>
        <v/>
      </c>
      <c r="F415" s="11" t="str">
        <f>IF(DATAPENDUDUK!H415="","",DATAPENDUDUK!H415)</f>
        <v/>
      </c>
      <c r="G415" s="10" t="str">
        <f t="shared" ca="1" si="12"/>
        <v/>
      </c>
      <c r="H415" t="str">
        <f t="shared" ca="1" si="13"/>
        <v/>
      </c>
    </row>
    <row r="416" spans="1:8" x14ac:dyDescent="0.25">
      <c r="A416" s="10" t="str">
        <f>IF(DATAPENDUDUK!A416="","",DATAPENDUDUK!A416)</f>
        <v/>
      </c>
      <c r="B416" s="13" t="str">
        <f>IF(DATAPENDUDUK!B416="","",DATAPENDUDUK!B416)</f>
        <v/>
      </c>
      <c r="C416" s="10" t="str">
        <f>IF(DATAPENDUDUK!C416="","",DATAPENDUDUK!C416)</f>
        <v/>
      </c>
      <c r="D416" s="10" t="str">
        <f>IF(DATAPENDUDUK!E416="","",DATAPENDUDUK!E416)</f>
        <v/>
      </c>
      <c r="E416" s="10" t="str">
        <f>IF(DATAPENDUDUK!F416="","",DATAPENDUDUK!F416)</f>
        <v/>
      </c>
      <c r="F416" s="11" t="str">
        <f>IF(DATAPENDUDUK!H416="","",DATAPENDUDUK!H416)</f>
        <v/>
      </c>
      <c r="G416" s="10" t="str">
        <f t="shared" ca="1" si="12"/>
        <v/>
      </c>
      <c r="H416" t="str">
        <f t="shared" ca="1" si="13"/>
        <v/>
      </c>
    </row>
    <row r="417" spans="1:8" x14ac:dyDescent="0.25">
      <c r="A417" s="10" t="str">
        <f>IF(DATAPENDUDUK!A417="","",DATAPENDUDUK!A417)</f>
        <v/>
      </c>
      <c r="B417" s="13" t="str">
        <f>IF(DATAPENDUDUK!B417="","",DATAPENDUDUK!B417)</f>
        <v/>
      </c>
      <c r="C417" s="10" t="str">
        <f>IF(DATAPENDUDUK!C417="","",DATAPENDUDUK!C417)</f>
        <v/>
      </c>
      <c r="D417" s="10" t="str">
        <f>IF(DATAPENDUDUK!E417="","",DATAPENDUDUK!E417)</f>
        <v/>
      </c>
      <c r="E417" s="10" t="str">
        <f>IF(DATAPENDUDUK!F417="","",DATAPENDUDUK!F417)</f>
        <v/>
      </c>
      <c r="F417" s="11" t="str">
        <f>IF(DATAPENDUDUK!H417="","",DATAPENDUDUK!H417)</f>
        <v/>
      </c>
      <c r="G417" s="10" t="str">
        <f t="shared" ca="1" si="12"/>
        <v/>
      </c>
      <c r="H417" t="str">
        <f t="shared" ca="1" si="13"/>
        <v/>
      </c>
    </row>
    <row r="418" spans="1:8" x14ac:dyDescent="0.25">
      <c r="A418" s="10" t="str">
        <f>IF(DATAPENDUDUK!A418="","",DATAPENDUDUK!A418)</f>
        <v/>
      </c>
      <c r="B418" s="13" t="str">
        <f>IF(DATAPENDUDUK!B418="","",DATAPENDUDUK!B418)</f>
        <v/>
      </c>
      <c r="C418" s="10" t="str">
        <f>IF(DATAPENDUDUK!C418="","",DATAPENDUDUK!C418)</f>
        <v/>
      </c>
      <c r="D418" s="10" t="str">
        <f>IF(DATAPENDUDUK!E418="","",DATAPENDUDUK!E418)</f>
        <v/>
      </c>
      <c r="E418" s="10" t="str">
        <f>IF(DATAPENDUDUK!F418="","",DATAPENDUDUK!F418)</f>
        <v/>
      </c>
      <c r="F418" s="11" t="str">
        <f>IF(DATAPENDUDUK!H418="","",DATAPENDUDUK!H418)</f>
        <v/>
      </c>
      <c r="G418" s="10" t="str">
        <f t="shared" ca="1" si="12"/>
        <v/>
      </c>
      <c r="H418" t="str">
        <f t="shared" ca="1" si="13"/>
        <v/>
      </c>
    </row>
    <row r="419" spans="1:8" x14ac:dyDescent="0.25">
      <c r="A419" s="10" t="str">
        <f>IF(DATAPENDUDUK!A419="","",DATAPENDUDUK!A419)</f>
        <v/>
      </c>
      <c r="B419" s="13" t="str">
        <f>IF(DATAPENDUDUK!B419="","",DATAPENDUDUK!B419)</f>
        <v/>
      </c>
      <c r="C419" s="10" t="str">
        <f>IF(DATAPENDUDUK!C419="","",DATAPENDUDUK!C419)</f>
        <v/>
      </c>
      <c r="D419" s="10" t="str">
        <f>IF(DATAPENDUDUK!E419="","",DATAPENDUDUK!E419)</f>
        <v/>
      </c>
      <c r="E419" s="10" t="str">
        <f>IF(DATAPENDUDUK!F419="","",DATAPENDUDUK!F419)</f>
        <v/>
      </c>
      <c r="F419" s="11" t="str">
        <f>IF(DATAPENDUDUK!H419="","",DATAPENDUDUK!H419)</f>
        <v/>
      </c>
      <c r="G419" s="10" t="str">
        <f t="shared" ca="1" si="12"/>
        <v/>
      </c>
      <c r="H419" t="str">
        <f t="shared" ca="1" si="13"/>
        <v/>
      </c>
    </row>
    <row r="420" spans="1:8" x14ac:dyDescent="0.25">
      <c r="A420" s="10" t="str">
        <f>IF(DATAPENDUDUK!A420="","",DATAPENDUDUK!A420)</f>
        <v/>
      </c>
      <c r="B420" s="13" t="str">
        <f>IF(DATAPENDUDUK!B420="","",DATAPENDUDUK!B420)</f>
        <v/>
      </c>
      <c r="C420" s="10" t="str">
        <f>IF(DATAPENDUDUK!C420="","",DATAPENDUDUK!C420)</f>
        <v/>
      </c>
      <c r="D420" s="10" t="str">
        <f>IF(DATAPENDUDUK!E420="","",DATAPENDUDUK!E420)</f>
        <v/>
      </c>
      <c r="E420" s="10" t="str">
        <f>IF(DATAPENDUDUK!F420="","",DATAPENDUDUK!F420)</f>
        <v/>
      </c>
      <c r="F420" s="11" t="str">
        <f>IF(DATAPENDUDUK!H420="","",DATAPENDUDUK!H420)</f>
        <v/>
      </c>
      <c r="G420" s="10" t="str">
        <f t="shared" ca="1" si="12"/>
        <v/>
      </c>
      <c r="H420" t="str">
        <f t="shared" ca="1" si="13"/>
        <v/>
      </c>
    </row>
    <row r="421" spans="1:8" x14ac:dyDescent="0.25">
      <c r="A421" s="10" t="str">
        <f>IF(DATAPENDUDUK!A421="","",DATAPENDUDUK!A421)</f>
        <v/>
      </c>
      <c r="B421" s="13" t="str">
        <f>IF(DATAPENDUDUK!B421="","",DATAPENDUDUK!B421)</f>
        <v/>
      </c>
      <c r="C421" s="10" t="str">
        <f>IF(DATAPENDUDUK!C421="","",DATAPENDUDUK!C421)</f>
        <v/>
      </c>
      <c r="D421" s="10" t="str">
        <f>IF(DATAPENDUDUK!E421="","",DATAPENDUDUK!E421)</f>
        <v/>
      </c>
      <c r="E421" s="10" t="str">
        <f>IF(DATAPENDUDUK!F421="","",DATAPENDUDUK!F421)</f>
        <v/>
      </c>
      <c r="F421" s="11" t="str">
        <f>IF(DATAPENDUDUK!H421="","",DATAPENDUDUK!H421)</f>
        <v/>
      </c>
      <c r="G421" s="10" t="str">
        <f t="shared" ca="1" si="12"/>
        <v/>
      </c>
      <c r="H421" t="str">
        <f t="shared" ca="1" si="13"/>
        <v/>
      </c>
    </row>
    <row r="422" spans="1:8" x14ac:dyDescent="0.25">
      <c r="A422" s="10" t="str">
        <f>IF(DATAPENDUDUK!A422="","",DATAPENDUDUK!A422)</f>
        <v/>
      </c>
      <c r="B422" s="13" t="str">
        <f>IF(DATAPENDUDUK!B422="","",DATAPENDUDUK!B422)</f>
        <v/>
      </c>
      <c r="C422" s="10" t="str">
        <f>IF(DATAPENDUDUK!C422="","",DATAPENDUDUK!C422)</f>
        <v/>
      </c>
      <c r="D422" s="10" t="str">
        <f>IF(DATAPENDUDUK!E422="","",DATAPENDUDUK!E422)</f>
        <v/>
      </c>
      <c r="E422" s="10" t="str">
        <f>IF(DATAPENDUDUK!F422="","",DATAPENDUDUK!F422)</f>
        <v/>
      </c>
      <c r="F422" s="11" t="str">
        <f>IF(DATAPENDUDUK!H422="","",DATAPENDUDUK!H422)</f>
        <v/>
      </c>
      <c r="G422" s="10" t="str">
        <f t="shared" ca="1" si="12"/>
        <v/>
      </c>
      <c r="H422" t="str">
        <f t="shared" ca="1" si="13"/>
        <v/>
      </c>
    </row>
    <row r="423" spans="1:8" x14ac:dyDescent="0.25">
      <c r="A423" s="10" t="str">
        <f>IF(DATAPENDUDUK!A423="","",DATAPENDUDUK!A423)</f>
        <v/>
      </c>
      <c r="B423" s="13" t="str">
        <f>IF(DATAPENDUDUK!B423="","",DATAPENDUDUK!B423)</f>
        <v/>
      </c>
      <c r="C423" s="10" t="str">
        <f>IF(DATAPENDUDUK!C423="","",DATAPENDUDUK!C423)</f>
        <v/>
      </c>
      <c r="D423" s="10" t="str">
        <f>IF(DATAPENDUDUK!E423="","",DATAPENDUDUK!E423)</f>
        <v/>
      </c>
      <c r="E423" s="10" t="str">
        <f>IF(DATAPENDUDUK!F423="","",DATAPENDUDUK!F423)</f>
        <v/>
      </c>
      <c r="F423" s="11" t="str">
        <f>IF(DATAPENDUDUK!H423="","",DATAPENDUDUK!H423)</f>
        <v/>
      </c>
      <c r="G423" s="10" t="str">
        <f t="shared" ca="1" si="12"/>
        <v/>
      </c>
      <c r="H423" t="str">
        <f t="shared" ca="1" si="13"/>
        <v/>
      </c>
    </row>
    <row r="424" spans="1:8" x14ac:dyDescent="0.25">
      <c r="A424" s="10" t="str">
        <f>IF(DATAPENDUDUK!A424="","",DATAPENDUDUK!A424)</f>
        <v/>
      </c>
      <c r="B424" s="13" t="str">
        <f>IF(DATAPENDUDUK!B424="","",DATAPENDUDUK!B424)</f>
        <v/>
      </c>
      <c r="C424" s="10" t="str">
        <f>IF(DATAPENDUDUK!C424="","",DATAPENDUDUK!C424)</f>
        <v/>
      </c>
      <c r="D424" s="10" t="str">
        <f>IF(DATAPENDUDUK!E424="","",DATAPENDUDUK!E424)</f>
        <v/>
      </c>
      <c r="E424" s="10" t="str">
        <f>IF(DATAPENDUDUK!F424="","",DATAPENDUDUK!F424)</f>
        <v/>
      </c>
      <c r="F424" s="11" t="str">
        <f>IF(DATAPENDUDUK!H424="","",DATAPENDUDUK!H424)</f>
        <v/>
      </c>
      <c r="G424" s="10" t="str">
        <f t="shared" ca="1" si="12"/>
        <v/>
      </c>
      <c r="H424" t="str">
        <f t="shared" ca="1" si="13"/>
        <v/>
      </c>
    </row>
    <row r="425" spans="1:8" x14ac:dyDescent="0.25">
      <c r="A425" s="10" t="str">
        <f>IF(DATAPENDUDUK!A425="","",DATAPENDUDUK!A425)</f>
        <v/>
      </c>
      <c r="B425" s="13" t="str">
        <f>IF(DATAPENDUDUK!B425="","",DATAPENDUDUK!B425)</f>
        <v/>
      </c>
      <c r="C425" s="10" t="str">
        <f>IF(DATAPENDUDUK!C425="","",DATAPENDUDUK!C425)</f>
        <v/>
      </c>
      <c r="D425" s="10" t="str">
        <f>IF(DATAPENDUDUK!E425="","",DATAPENDUDUK!E425)</f>
        <v/>
      </c>
      <c r="E425" s="10" t="str">
        <f>IF(DATAPENDUDUK!F425="","",DATAPENDUDUK!F425)</f>
        <v/>
      </c>
      <c r="F425" s="11" t="str">
        <f>IF(DATAPENDUDUK!H425="","",DATAPENDUDUK!H425)</f>
        <v/>
      </c>
      <c r="G425" s="10" t="str">
        <f t="shared" ca="1" si="12"/>
        <v/>
      </c>
      <c r="H425" t="str">
        <f t="shared" ca="1" si="13"/>
        <v/>
      </c>
    </row>
    <row r="426" spans="1:8" x14ac:dyDescent="0.25">
      <c r="A426" s="10" t="str">
        <f>IF(DATAPENDUDUK!A426="","",DATAPENDUDUK!A426)</f>
        <v/>
      </c>
      <c r="B426" s="13" t="str">
        <f>IF(DATAPENDUDUK!B426="","",DATAPENDUDUK!B426)</f>
        <v/>
      </c>
      <c r="C426" s="10" t="str">
        <f>IF(DATAPENDUDUK!C426="","",DATAPENDUDUK!C426)</f>
        <v/>
      </c>
      <c r="D426" s="10" t="str">
        <f>IF(DATAPENDUDUK!E426="","",DATAPENDUDUK!E426)</f>
        <v/>
      </c>
      <c r="E426" s="10" t="str">
        <f>IF(DATAPENDUDUK!F426="","",DATAPENDUDUK!F426)</f>
        <v/>
      </c>
      <c r="F426" s="11" t="str">
        <f>IF(DATAPENDUDUK!H426="","",DATAPENDUDUK!H426)</f>
        <v/>
      </c>
      <c r="G426" s="10" t="str">
        <f t="shared" ca="1" si="12"/>
        <v/>
      </c>
      <c r="H426" t="str">
        <f t="shared" ca="1" si="13"/>
        <v/>
      </c>
    </row>
    <row r="427" spans="1:8" x14ac:dyDescent="0.25">
      <c r="A427" s="10" t="str">
        <f>IF(DATAPENDUDUK!A427="","",DATAPENDUDUK!A427)</f>
        <v/>
      </c>
      <c r="B427" s="13" t="str">
        <f>IF(DATAPENDUDUK!B427="","",DATAPENDUDUK!B427)</f>
        <v/>
      </c>
      <c r="C427" s="10" t="str">
        <f>IF(DATAPENDUDUK!C427="","",DATAPENDUDUK!C427)</f>
        <v/>
      </c>
      <c r="D427" s="10" t="str">
        <f>IF(DATAPENDUDUK!E427="","",DATAPENDUDUK!E427)</f>
        <v/>
      </c>
      <c r="E427" s="10" t="str">
        <f>IF(DATAPENDUDUK!F427="","",DATAPENDUDUK!F427)</f>
        <v/>
      </c>
      <c r="F427" s="11" t="str">
        <f>IF(DATAPENDUDUK!H427="","",DATAPENDUDUK!H427)</f>
        <v/>
      </c>
      <c r="G427" s="10" t="str">
        <f t="shared" ca="1" si="12"/>
        <v/>
      </c>
      <c r="H427" t="str">
        <f t="shared" ca="1" si="13"/>
        <v/>
      </c>
    </row>
    <row r="428" spans="1:8" x14ac:dyDescent="0.25">
      <c r="A428" s="10" t="str">
        <f>IF(DATAPENDUDUK!A428="","",DATAPENDUDUK!A428)</f>
        <v/>
      </c>
      <c r="B428" s="13" t="str">
        <f>IF(DATAPENDUDUK!B428="","",DATAPENDUDUK!B428)</f>
        <v/>
      </c>
      <c r="C428" s="10" t="str">
        <f>IF(DATAPENDUDUK!C428="","",DATAPENDUDUK!C428)</f>
        <v/>
      </c>
      <c r="D428" s="10" t="str">
        <f>IF(DATAPENDUDUK!E428="","",DATAPENDUDUK!E428)</f>
        <v/>
      </c>
      <c r="E428" s="10" t="str">
        <f>IF(DATAPENDUDUK!F428="","",DATAPENDUDUK!F428)</f>
        <v/>
      </c>
      <c r="F428" s="11" t="str">
        <f>IF(DATAPENDUDUK!H428="","",DATAPENDUDUK!H428)</f>
        <v/>
      </c>
      <c r="G428" s="10" t="str">
        <f t="shared" ca="1" si="12"/>
        <v/>
      </c>
      <c r="H428" t="str">
        <f t="shared" ca="1" si="13"/>
        <v/>
      </c>
    </row>
    <row r="429" spans="1:8" x14ac:dyDescent="0.25">
      <c r="A429" s="10" t="str">
        <f>IF(DATAPENDUDUK!A429="","",DATAPENDUDUK!A429)</f>
        <v/>
      </c>
      <c r="B429" s="13" t="str">
        <f>IF(DATAPENDUDUK!B429="","",DATAPENDUDUK!B429)</f>
        <v/>
      </c>
      <c r="C429" s="10" t="str">
        <f>IF(DATAPENDUDUK!C429="","",DATAPENDUDUK!C429)</f>
        <v/>
      </c>
      <c r="D429" s="10" t="str">
        <f>IF(DATAPENDUDUK!E429="","",DATAPENDUDUK!E429)</f>
        <v/>
      </c>
      <c r="E429" s="10" t="str">
        <f>IF(DATAPENDUDUK!F429="","",DATAPENDUDUK!F429)</f>
        <v/>
      </c>
      <c r="F429" s="11" t="str">
        <f>IF(DATAPENDUDUK!H429="","",DATAPENDUDUK!H429)</f>
        <v/>
      </c>
      <c r="G429" s="10" t="str">
        <f t="shared" ca="1" si="12"/>
        <v/>
      </c>
      <c r="H429" t="str">
        <f t="shared" ca="1" si="13"/>
        <v/>
      </c>
    </row>
    <row r="430" spans="1:8" x14ac:dyDescent="0.25">
      <c r="A430" s="10" t="str">
        <f>IF(DATAPENDUDUK!A430="","",DATAPENDUDUK!A430)</f>
        <v/>
      </c>
      <c r="B430" s="13" t="str">
        <f>IF(DATAPENDUDUK!B430="","",DATAPENDUDUK!B430)</f>
        <v/>
      </c>
      <c r="C430" s="10" t="str">
        <f>IF(DATAPENDUDUK!C430="","",DATAPENDUDUK!C430)</f>
        <v/>
      </c>
      <c r="D430" s="10" t="str">
        <f>IF(DATAPENDUDUK!E430="","",DATAPENDUDUK!E430)</f>
        <v/>
      </c>
      <c r="E430" s="10" t="str">
        <f>IF(DATAPENDUDUK!F430="","",DATAPENDUDUK!F430)</f>
        <v/>
      </c>
      <c r="F430" s="11" t="str">
        <f>IF(DATAPENDUDUK!H430="","",DATAPENDUDUK!H430)</f>
        <v/>
      </c>
      <c r="G430" s="10" t="str">
        <f t="shared" ca="1" si="12"/>
        <v/>
      </c>
      <c r="H430" t="str">
        <f t="shared" ca="1" si="13"/>
        <v/>
      </c>
    </row>
    <row r="431" spans="1:8" x14ac:dyDescent="0.25">
      <c r="A431" s="10" t="str">
        <f>IF(DATAPENDUDUK!A431="","",DATAPENDUDUK!A431)</f>
        <v/>
      </c>
      <c r="B431" s="13" t="str">
        <f>IF(DATAPENDUDUK!B431="","",DATAPENDUDUK!B431)</f>
        <v/>
      </c>
      <c r="C431" s="10" t="str">
        <f>IF(DATAPENDUDUK!C431="","",DATAPENDUDUK!C431)</f>
        <v/>
      </c>
      <c r="D431" s="10" t="str">
        <f>IF(DATAPENDUDUK!E431="","",DATAPENDUDUK!E431)</f>
        <v/>
      </c>
      <c r="E431" s="10" t="str">
        <f>IF(DATAPENDUDUK!F431="","",DATAPENDUDUK!F431)</f>
        <v/>
      </c>
      <c r="F431" s="11" t="str">
        <f>IF(DATAPENDUDUK!H431="","",DATAPENDUDUK!H431)</f>
        <v/>
      </c>
      <c r="G431" s="10" t="str">
        <f t="shared" ca="1" si="12"/>
        <v/>
      </c>
      <c r="H431" t="str">
        <f t="shared" ca="1" si="13"/>
        <v/>
      </c>
    </row>
    <row r="432" spans="1:8" x14ac:dyDescent="0.25">
      <c r="A432" s="10" t="str">
        <f>IF(DATAPENDUDUK!A432="","",DATAPENDUDUK!A432)</f>
        <v/>
      </c>
      <c r="B432" s="13" t="str">
        <f>IF(DATAPENDUDUK!B432="","",DATAPENDUDUK!B432)</f>
        <v/>
      </c>
      <c r="C432" s="10" t="str">
        <f>IF(DATAPENDUDUK!C432="","",DATAPENDUDUK!C432)</f>
        <v/>
      </c>
      <c r="D432" s="10" t="str">
        <f>IF(DATAPENDUDUK!E432="","",DATAPENDUDUK!E432)</f>
        <v/>
      </c>
      <c r="E432" s="10" t="str">
        <f>IF(DATAPENDUDUK!F432="","",DATAPENDUDUK!F432)</f>
        <v/>
      </c>
      <c r="F432" s="11" t="str">
        <f>IF(DATAPENDUDUK!H432="","",DATAPENDUDUK!H432)</f>
        <v/>
      </c>
      <c r="G432" s="10" t="str">
        <f t="shared" ca="1" si="12"/>
        <v/>
      </c>
      <c r="H432" t="str">
        <f t="shared" ca="1" si="13"/>
        <v/>
      </c>
    </row>
    <row r="433" spans="1:8" x14ac:dyDescent="0.25">
      <c r="A433" s="10" t="str">
        <f>IF(DATAPENDUDUK!A433="","",DATAPENDUDUK!A433)</f>
        <v/>
      </c>
      <c r="B433" s="13" t="str">
        <f>IF(DATAPENDUDUK!B433="","",DATAPENDUDUK!B433)</f>
        <v/>
      </c>
      <c r="C433" s="10" t="str">
        <f>IF(DATAPENDUDUK!C433="","",DATAPENDUDUK!C433)</f>
        <v/>
      </c>
      <c r="D433" s="10" t="str">
        <f>IF(DATAPENDUDUK!E433="","",DATAPENDUDUK!E433)</f>
        <v/>
      </c>
      <c r="E433" s="10" t="str">
        <f>IF(DATAPENDUDUK!F433="","",DATAPENDUDUK!F433)</f>
        <v/>
      </c>
      <c r="F433" s="11" t="str">
        <f>IF(DATAPENDUDUK!H433="","",DATAPENDUDUK!H433)</f>
        <v/>
      </c>
      <c r="G433" s="10" t="str">
        <f t="shared" ca="1" si="12"/>
        <v/>
      </c>
      <c r="H433" t="str">
        <f t="shared" ca="1" si="13"/>
        <v/>
      </c>
    </row>
    <row r="434" spans="1:8" x14ac:dyDescent="0.25">
      <c r="A434" s="10" t="str">
        <f>IF(DATAPENDUDUK!A434="","",DATAPENDUDUK!A434)</f>
        <v/>
      </c>
      <c r="B434" s="13" t="str">
        <f>IF(DATAPENDUDUK!B434="","",DATAPENDUDUK!B434)</f>
        <v/>
      </c>
      <c r="C434" s="10" t="str">
        <f>IF(DATAPENDUDUK!C434="","",DATAPENDUDUK!C434)</f>
        <v/>
      </c>
      <c r="D434" s="10" t="str">
        <f>IF(DATAPENDUDUK!E434="","",DATAPENDUDUK!E434)</f>
        <v/>
      </c>
      <c r="E434" s="10" t="str">
        <f>IF(DATAPENDUDUK!F434="","",DATAPENDUDUK!F434)</f>
        <v/>
      </c>
      <c r="F434" s="11" t="str">
        <f>IF(DATAPENDUDUK!H434="","",DATAPENDUDUK!H434)</f>
        <v/>
      </c>
      <c r="G434" s="10" t="str">
        <f t="shared" ca="1" si="12"/>
        <v/>
      </c>
      <c r="H434" t="str">
        <f t="shared" ca="1" si="13"/>
        <v/>
      </c>
    </row>
    <row r="435" spans="1:8" x14ac:dyDescent="0.25">
      <c r="A435" s="10" t="str">
        <f>IF(DATAPENDUDUK!A435="","",DATAPENDUDUK!A435)</f>
        <v/>
      </c>
      <c r="B435" s="13" t="str">
        <f>IF(DATAPENDUDUK!B435="","",DATAPENDUDUK!B435)</f>
        <v/>
      </c>
      <c r="C435" s="10" t="str">
        <f>IF(DATAPENDUDUK!C435="","",DATAPENDUDUK!C435)</f>
        <v/>
      </c>
      <c r="D435" s="10" t="str">
        <f>IF(DATAPENDUDUK!E435="","",DATAPENDUDUK!E435)</f>
        <v/>
      </c>
      <c r="E435" s="10" t="str">
        <f>IF(DATAPENDUDUK!F435="","",DATAPENDUDUK!F435)</f>
        <v/>
      </c>
      <c r="F435" s="11" t="str">
        <f>IF(DATAPENDUDUK!H435="","",DATAPENDUDUK!H435)</f>
        <v/>
      </c>
      <c r="G435" s="10" t="str">
        <f t="shared" ca="1" si="12"/>
        <v/>
      </c>
      <c r="H435" t="str">
        <f t="shared" ca="1" si="13"/>
        <v/>
      </c>
    </row>
    <row r="436" spans="1:8" x14ac:dyDescent="0.25">
      <c r="A436" s="10" t="str">
        <f>IF(DATAPENDUDUK!A436="","",DATAPENDUDUK!A436)</f>
        <v/>
      </c>
      <c r="B436" s="13" t="str">
        <f>IF(DATAPENDUDUK!B436="","",DATAPENDUDUK!B436)</f>
        <v/>
      </c>
      <c r="C436" s="10" t="str">
        <f>IF(DATAPENDUDUK!C436="","",DATAPENDUDUK!C436)</f>
        <v/>
      </c>
      <c r="D436" s="10" t="str">
        <f>IF(DATAPENDUDUK!E436="","",DATAPENDUDUK!E436)</f>
        <v/>
      </c>
      <c r="E436" s="10" t="str">
        <f>IF(DATAPENDUDUK!F436="","",DATAPENDUDUK!F436)</f>
        <v/>
      </c>
      <c r="F436" s="11" t="str">
        <f>IF(DATAPENDUDUK!H436="","",DATAPENDUDUK!H436)</f>
        <v/>
      </c>
      <c r="G436" s="10" t="str">
        <f t="shared" ca="1" si="12"/>
        <v/>
      </c>
      <c r="H436" t="str">
        <f t="shared" ca="1" si="13"/>
        <v/>
      </c>
    </row>
    <row r="437" spans="1:8" x14ac:dyDescent="0.25">
      <c r="A437" s="10" t="str">
        <f>IF(DATAPENDUDUK!A437="","",DATAPENDUDUK!A437)</f>
        <v/>
      </c>
      <c r="B437" s="13" t="str">
        <f>IF(DATAPENDUDUK!B437="","",DATAPENDUDUK!B437)</f>
        <v/>
      </c>
      <c r="C437" s="10" t="str">
        <f>IF(DATAPENDUDUK!C437="","",DATAPENDUDUK!C437)</f>
        <v/>
      </c>
      <c r="D437" s="10" t="str">
        <f>IF(DATAPENDUDUK!E437="","",DATAPENDUDUK!E437)</f>
        <v/>
      </c>
      <c r="E437" s="10" t="str">
        <f>IF(DATAPENDUDUK!F437="","",DATAPENDUDUK!F437)</f>
        <v/>
      </c>
      <c r="F437" s="11" t="str">
        <f>IF(DATAPENDUDUK!H437="","",DATAPENDUDUK!H437)</f>
        <v/>
      </c>
      <c r="G437" s="10" t="str">
        <f t="shared" ca="1" si="12"/>
        <v/>
      </c>
      <c r="H437" t="str">
        <f t="shared" ca="1" si="13"/>
        <v/>
      </c>
    </row>
    <row r="438" spans="1:8" x14ac:dyDescent="0.25">
      <c r="A438" s="10" t="str">
        <f>IF(DATAPENDUDUK!A438="","",DATAPENDUDUK!A438)</f>
        <v/>
      </c>
      <c r="B438" s="13" t="str">
        <f>IF(DATAPENDUDUK!B438="","",DATAPENDUDUK!B438)</f>
        <v/>
      </c>
      <c r="C438" s="10" t="str">
        <f>IF(DATAPENDUDUK!C438="","",DATAPENDUDUK!C438)</f>
        <v/>
      </c>
      <c r="D438" s="10" t="str">
        <f>IF(DATAPENDUDUK!E438="","",DATAPENDUDUK!E438)</f>
        <v/>
      </c>
      <c r="E438" s="10" t="str">
        <f>IF(DATAPENDUDUK!F438="","",DATAPENDUDUK!F438)</f>
        <v/>
      </c>
      <c r="F438" s="11" t="str">
        <f>IF(DATAPENDUDUK!H438="","",DATAPENDUDUK!H438)</f>
        <v/>
      </c>
      <c r="G438" s="10" t="str">
        <f t="shared" ca="1" si="12"/>
        <v/>
      </c>
      <c r="H438" t="str">
        <f t="shared" ca="1" si="13"/>
        <v/>
      </c>
    </row>
    <row r="439" spans="1:8" x14ac:dyDescent="0.25">
      <c r="A439" s="10" t="str">
        <f>IF(DATAPENDUDUK!A439="","",DATAPENDUDUK!A439)</f>
        <v/>
      </c>
      <c r="B439" s="13" t="str">
        <f>IF(DATAPENDUDUK!B439="","",DATAPENDUDUK!B439)</f>
        <v/>
      </c>
      <c r="C439" s="10" t="str">
        <f>IF(DATAPENDUDUK!C439="","",DATAPENDUDUK!C439)</f>
        <v/>
      </c>
      <c r="D439" s="10" t="str">
        <f>IF(DATAPENDUDUK!E439="","",DATAPENDUDUK!E439)</f>
        <v/>
      </c>
      <c r="E439" s="10" t="str">
        <f>IF(DATAPENDUDUK!F439="","",DATAPENDUDUK!F439)</f>
        <v/>
      </c>
      <c r="F439" s="11" t="str">
        <f>IF(DATAPENDUDUK!H439="","",DATAPENDUDUK!H439)</f>
        <v/>
      </c>
      <c r="G439" s="10" t="str">
        <f t="shared" ca="1" si="12"/>
        <v/>
      </c>
      <c r="H439" t="str">
        <f t="shared" ca="1" si="13"/>
        <v/>
      </c>
    </row>
    <row r="440" spans="1:8" x14ac:dyDescent="0.25">
      <c r="A440" s="10" t="str">
        <f>IF(DATAPENDUDUK!A440="","",DATAPENDUDUK!A440)</f>
        <v/>
      </c>
      <c r="B440" s="13" t="str">
        <f>IF(DATAPENDUDUK!B440="","",DATAPENDUDUK!B440)</f>
        <v/>
      </c>
      <c r="C440" s="10" t="str">
        <f>IF(DATAPENDUDUK!C440="","",DATAPENDUDUK!C440)</f>
        <v/>
      </c>
      <c r="D440" s="10" t="str">
        <f>IF(DATAPENDUDUK!E440="","",DATAPENDUDUK!E440)</f>
        <v/>
      </c>
      <c r="E440" s="10" t="str">
        <f>IF(DATAPENDUDUK!F440="","",DATAPENDUDUK!F440)</f>
        <v/>
      </c>
      <c r="F440" s="11" t="str">
        <f>IF(DATAPENDUDUK!H440="","",DATAPENDUDUK!H440)</f>
        <v/>
      </c>
      <c r="G440" s="10" t="str">
        <f t="shared" ca="1" si="12"/>
        <v/>
      </c>
      <c r="H440" t="str">
        <f t="shared" ca="1" si="13"/>
        <v/>
      </c>
    </row>
    <row r="441" spans="1:8" x14ac:dyDescent="0.25">
      <c r="A441" s="10" t="str">
        <f>IF(DATAPENDUDUK!A441="","",DATAPENDUDUK!A441)</f>
        <v/>
      </c>
      <c r="B441" s="13" t="str">
        <f>IF(DATAPENDUDUK!B441="","",DATAPENDUDUK!B441)</f>
        <v/>
      </c>
      <c r="C441" s="10" t="str">
        <f>IF(DATAPENDUDUK!C441="","",DATAPENDUDUK!C441)</f>
        <v/>
      </c>
      <c r="D441" s="10" t="str">
        <f>IF(DATAPENDUDUK!E441="","",DATAPENDUDUK!E441)</f>
        <v/>
      </c>
      <c r="E441" s="10" t="str">
        <f>IF(DATAPENDUDUK!F441="","",DATAPENDUDUK!F441)</f>
        <v/>
      </c>
      <c r="F441" s="11" t="str">
        <f>IF(DATAPENDUDUK!H441="","",DATAPENDUDUK!H441)</f>
        <v/>
      </c>
      <c r="G441" s="10" t="str">
        <f t="shared" ca="1" si="12"/>
        <v/>
      </c>
      <c r="H441" t="str">
        <f t="shared" ca="1" si="13"/>
        <v/>
      </c>
    </row>
    <row r="442" spans="1:8" x14ac:dyDescent="0.25">
      <c r="A442" s="10" t="str">
        <f>IF(DATAPENDUDUK!A442="","",DATAPENDUDUK!A442)</f>
        <v/>
      </c>
      <c r="B442" s="13" t="str">
        <f>IF(DATAPENDUDUK!B442="","",DATAPENDUDUK!B442)</f>
        <v/>
      </c>
      <c r="C442" s="10" t="str">
        <f>IF(DATAPENDUDUK!C442="","",DATAPENDUDUK!C442)</f>
        <v/>
      </c>
      <c r="D442" s="10" t="str">
        <f>IF(DATAPENDUDUK!E442="","",DATAPENDUDUK!E442)</f>
        <v/>
      </c>
      <c r="E442" s="10" t="str">
        <f>IF(DATAPENDUDUK!F442="","",DATAPENDUDUK!F442)</f>
        <v/>
      </c>
      <c r="F442" s="11" t="str">
        <f>IF(DATAPENDUDUK!H442="","",DATAPENDUDUK!H442)</f>
        <v/>
      </c>
      <c r="G442" s="10" t="str">
        <f t="shared" ca="1" si="12"/>
        <v/>
      </c>
      <c r="H442" t="str">
        <f t="shared" ca="1" si="13"/>
        <v/>
      </c>
    </row>
    <row r="443" spans="1:8" x14ac:dyDescent="0.25">
      <c r="A443" s="10" t="str">
        <f>IF(DATAPENDUDUK!A443="","",DATAPENDUDUK!A443)</f>
        <v/>
      </c>
      <c r="B443" s="13" t="str">
        <f>IF(DATAPENDUDUK!B443="","",DATAPENDUDUK!B443)</f>
        <v/>
      </c>
      <c r="C443" s="10" t="str">
        <f>IF(DATAPENDUDUK!C443="","",DATAPENDUDUK!C443)</f>
        <v/>
      </c>
      <c r="D443" s="10" t="str">
        <f>IF(DATAPENDUDUK!E443="","",DATAPENDUDUK!E443)</f>
        <v/>
      </c>
      <c r="E443" s="10" t="str">
        <f>IF(DATAPENDUDUK!F443="","",DATAPENDUDUK!F443)</f>
        <v/>
      </c>
      <c r="F443" s="11" t="str">
        <f>IF(DATAPENDUDUK!H443="","",DATAPENDUDUK!H443)</f>
        <v/>
      </c>
      <c r="G443" s="10" t="str">
        <f t="shared" ca="1" si="12"/>
        <v/>
      </c>
      <c r="H443" t="str">
        <f t="shared" ca="1" si="13"/>
        <v/>
      </c>
    </row>
    <row r="444" spans="1:8" x14ac:dyDescent="0.25">
      <c r="A444" s="10" t="str">
        <f>IF(DATAPENDUDUK!A444="","",DATAPENDUDUK!A444)</f>
        <v/>
      </c>
      <c r="B444" s="13" t="str">
        <f>IF(DATAPENDUDUK!B444="","",DATAPENDUDUK!B444)</f>
        <v/>
      </c>
      <c r="C444" s="10" t="str">
        <f>IF(DATAPENDUDUK!C444="","",DATAPENDUDUK!C444)</f>
        <v/>
      </c>
      <c r="D444" s="10" t="str">
        <f>IF(DATAPENDUDUK!E444="","",DATAPENDUDUK!E444)</f>
        <v/>
      </c>
      <c r="E444" s="10" t="str">
        <f>IF(DATAPENDUDUK!F444="","",DATAPENDUDUK!F444)</f>
        <v/>
      </c>
      <c r="F444" s="11" t="str">
        <f>IF(DATAPENDUDUK!H444="","",DATAPENDUDUK!H444)</f>
        <v/>
      </c>
      <c r="G444" s="10" t="str">
        <f t="shared" ca="1" si="12"/>
        <v/>
      </c>
      <c r="H444" t="str">
        <f t="shared" ca="1" si="13"/>
        <v/>
      </c>
    </row>
    <row r="445" spans="1:8" x14ac:dyDescent="0.25">
      <c r="A445" s="10" t="str">
        <f>IF(DATAPENDUDUK!A445="","",DATAPENDUDUK!A445)</f>
        <v/>
      </c>
      <c r="B445" s="13" t="str">
        <f>IF(DATAPENDUDUK!B445="","",DATAPENDUDUK!B445)</f>
        <v/>
      </c>
      <c r="C445" s="10" t="str">
        <f>IF(DATAPENDUDUK!C445="","",DATAPENDUDUK!C445)</f>
        <v/>
      </c>
      <c r="D445" s="10" t="str">
        <f>IF(DATAPENDUDUK!E445="","",DATAPENDUDUK!E445)</f>
        <v/>
      </c>
      <c r="E445" s="10" t="str">
        <f>IF(DATAPENDUDUK!F445="","",DATAPENDUDUK!F445)</f>
        <v/>
      </c>
      <c r="F445" s="11" t="str">
        <f>IF(DATAPENDUDUK!H445="","",DATAPENDUDUK!H445)</f>
        <v/>
      </c>
      <c r="G445" s="10" t="str">
        <f t="shared" ca="1" si="12"/>
        <v/>
      </c>
      <c r="H445" t="str">
        <f t="shared" ca="1" si="13"/>
        <v/>
      </c>
    </row>
    <row r="446" spans="1:8" x14ac:dyDescent="0.25">
      <c r="A446" s="10" t="str">
        <f>IF(DATAPENDUDUK!A446="","",DATAPENDUDUK!A446)</f>
        <v/>
      </c>
      <c r="B446" s="13" t="str">
        <f>IF(DATAPENDUDUK!B446="","",DATAPENDUDUK!B446)</f>
        <v/>
      </c>
      <c r="C446" s="10" t="str">
        <f>IF(DATAPENDUDUK!C446="","",DATAPENDUDUK!C446)</f>
        <v/>
      </c>
      <c r="D446" s="10" t="str">
        <f>IF(DATAPENDUDUK!E446="","",DATAPENDUDUK!E446)</f>
        <v/>
      </c>
      <c r="E446" s="10" t="str">
        <f>IF(DATAPENDUDUK!F446="","",DATAPENDUDUK!F446)</f>
        <v/>
      </c>
      <c r="F446" s="11" t="str">
        <f>IF(DATAPENDUDUK!H446="","",DATAPENDUDUK!H446)</f>
        <v/>
      </c>
      <c r="G446" s="10" t="str">
        <f t="shared" ca="1" si="12"/>
        <v/>
      </c>
      <c r="H446" t="str">
        <f t="shared" ca="1" si="13"/>
        <v/>
      </c>
    </row>
    <row r="447" spans="1:8" x14ac:dyDescent="0.25">
      <c r="A447" s="10" t="str">
        <f>IF(DATAPENDUDUK!A447="","",DATAPENDUDUK!A447)</f>
        <v/>
      </c>
      <c r="B447" s="13" t="str">
        <f>IF(DATAPENDUDUK!B447="","",DATAPENDUDUK!B447)</f>
        <v/>
      </c>
      <c r="C447" s="10" t="str">
        <f>IF(DATAPENDUDUK!C447="","",DATAPENDUDUK!C447)</f>
        <v/>
      </c>
      <c r="D447" s="10" t="str">
        <f>IF(DATAPENDUDUK!E447="","",DATAPENDUDUK!E447)</f>
        <v/>
      </c>
      <c r="E447" s="10" t="str">
        <f>IF(DATAPENDUDUK!F447="","",DATAPENDUDUK!F447)</f>
        <v/>
      </c>
      <c r="F447" s="11" t="str">
        <f>IF(DATAPENDUDUK!H447="","",DATAPENDUDUK!H447)</f>
        <v/>
      </c>
      <c r="G447" s="10" t="str">
        <f t="shared" ca="1" si="12"/>
        <v/>
      </c>
      <c r="H447" t="str">
        <f t="shared" ca="1" si="13"/>
        <v/>
      </c>
    </row>
    <row r="448" spans="1:8" x14ac:dyDescent="0.25">
      <c r="A448" s="10" t="str">
        <f>IF(DATAPENDUDUK!A448="","",DATAPENDUDUK!A448)</f>
        <v/>
      </c>
      <c r="B448" s="13" t="str">
        <f>IF(DATAPENDUDUK!B448="","",DATAPENDUDUK!B448)</f>
        <v/>
      </c>
      <c r="C448" s="10" t="str">
        <f>IF(DATAPENDUDUK!C448="","",DATAPENDUDUK!C448)</f>
        <v/>
      </c>
      <c r="D448" s="10" t="str">
        <f>IF(DATAPENDUDUK!E448="","",DATAPENDUDUK!E448)</f>
        <v/>
      </c>
      <c r="E448" s="10" t="str">
        <f>IF(DATAPENDUDUK!F448="","",DATAPENDUDUK!F448)</f>
        <v/>
      </c>
      <c r="F448" s="11" t="str">
        <f>IF(DATAPENDUDUK!H448="","",DATAPENDUDUK!H448)</f>
        <v/>
      </c>
      <c r="G448" s="10" t="str">
        <f t="shared" ca="1" si="12"/>
        <v/>
      </c>
      <c r="H448" t="str">
        <f t="shared" ca="1" si="13"/>
        <v/>
      </c>
    </row>
    <row r="449" spans="1:8" x14ac:dyDescent="0.25">
      <c r="A449" s="10" t="str">
        <f>IF(DATAPENDUDUK!A449="","",DATAPENDUDUK!A449)</f>
        <v/>
      </c>
      <c r="B449" s="13" t="str">
        <f>IF(DATAPENDUDUK!B449="","",DATAPENDUDUK!B449)</f>
        <v/>
      </c>
      <c r="C449" s="10" t="str">
        <f>IF(DATAPENDUDUK!C449="","",DATAPENDUDUK!C449)</f>
        <v/>
      </c>
      <c r="D449" s="10" t="str">
        <f>IF(DATAPENDUDUK!E449="","",DATAPENDUDUK!E449)</f>
        <v/>
      </c>
      <c r="E449" s="10" t="str">
        <f>IF(DATAPENDUDUK!F449="","",DATAPENDUDUK!F449)</f>
        <v/>
      </c>
      <c r="F449" s="11" t="str">
        <f>IF(DATAPENDUDUK!H449="","",DATAPENDUDUK!H449)</f>
        <v/>
      </c>
      <c r="G449" s="10" t="str">
        <f t="shared" ca="1" si="12"/>
        <v/>
      </c>
      <c r="H449" t="str">
        <f t="shared" ca="1" si="13"/>
        <v/>
      </c>
    </row>
    <row r="450" spans="1:8" x14ac:dyDescent="0.25">
      <c r="A450" s="10" t="str">
        <f>IF(DATAPENDUDUK!A450="","",DATAPENDUDUK!A450)</f>
        <v/>
      </c>
      <c r="B450" s="13" t="str">
        <f>IF(DATAPENDUDUK!B450="","",DATAPENDUDUK!B450)</f>
        <v/>
      </c>
      <c r="C450" s="10" t="str">
        <f>IF(DATAPENDUDUK!C450="","",DATAPENDUDUK!C450)</f>
        <v/>
      </c>
      <c r="D450" s="10" t="str">
        <f>IF(DATAPENDUDUK!E450="","",DATAPENDUDUK!E450)</f>
        <v/>
      </c>
      <c r="E450" s="10" t="str">
        <f>IF(DATAPENDUDUK!F450="","",DATAPENDUDUK!F450)</f>
        <v/>
      </c>
      <c r="F450" s="11" t="str">
        <f>IF(DATAPENDUDUK!H450="","",DATAPENDUDUK!H450)</f>
        <v/>
      </c>
      <c r="G450" s="10" t="str">
        <f t="shared" ca="1" si="12"/>
        <v/>
      </c>
      <c r="H450" t="str">
        <f t="shared" ca="1" si="13"/>
        <v/>
      </c>
    </row>
    <row r="451" spans="1:8" x14ac:dyDescent="0.25">
      <c r="A451" s="10" t="str">
        <f>IF(DATAPENDUDUK!A451="","",DATAPENDUDUK!A451)</f>
        <v/>
      </c>
      <c r="B451" s="13" t="str">
        <f>IF(DATAPENDUDUK!B451="","",DATAPENDUDUK!B451)</f>
        <v/>
      </c>
      <c r="C451" s="10" t="str">
        <f>IF(DATAPENDUDUK!C451="","",DATAPENDUDUK!C451)</f>
        <v/>
      </c>
      <c r="D451" s="10" t="str">
        <f>IF(DATAPENDUDUK!E451="","",DATAPENDUDUK!E451)</f>
        <v/>
      </c>
      <c r="E451" s="10" t="str">
        <f>IF(DATAPENDUDUK!F451="","",DATAPENDUDUK!F451)</f>
        <v/>
      </c>
      <c r="F451" s="11" t="str">
        <f>IF(DATAPENDUDUK!H451="","",DATAPENDUDUK!H451)</f>
        <v/>
      </c>
      <c r="G451" s="10" t="str">
        <f t="shared" ca="1" si="12"/>
        <v/>
      </c>
      <c r="H451" t="str">
        <f t="shared" ca="1" si="13"/>
        <v/>
      </c>
    </row>
    <row r="452" spans="1:8" x14ac:dyDescent="0.25">
      <c r="A452" s="10" t="str">
        <f>IF(DATAPENDUDUK!A452="","",DATAPENDUDUK!A452)</f>
        <v/>
      </c>
      <c r="B452" s="13" t="str">
        <f>IF(DATAPENDUDUK!B452="","",DATAPENDUDUK!B452)</f>
        <v/>
      </c>
      <c r="C452" s="10" t="str">
        <f>IF(DATAPENDUDUK!C452="","",DATAPENDUDUK!C452)</f>
        <v/>
      </c>
      <c r="D452" s="10" t="str">
        <f>IF(DATAPENDUDUK!E452="","",DATAPENDUDUK!E452)</f>
        <v/>
      </c>
      <c r="E452" s="10" t="str">
        <f>IF(DATAPENDUDUK!F452="","",DATAPENDUDUK!F452)</f>
        <v/>
      </c>
      <c r="F452" s="11" t="str">
        <f>IF(DATAPENDUDUK!H452="","",DATAPENDUDUK!H452)</f>
        <v/>
      </c>
      <c r="G452" s="10" t="str">
        <f t="shared" ca="1" si="12"/>
        <v/>
      </c>
      <c r="H452" t="str">
        <f t="shared" ca="1" si="13"/>
        <v/>
      </c>
    </row>
    <row r="453" spans="1:8" x14ac:dyDescent="0.25">
      <c r="A453" s="10" t="str">
        <f>IF(DATAPENDUDUK!A453="","",DATAPENDUDUK!A453)</f>
        <v/>
      </c>
      <c r="B453" s="13" t="str">
        <f>IF(DATAPENDUDUK!B453="","",DATAPENDUDUK!B453)</f>
        <v/>
      </c>
      <c r="C453" s="10" t="str">
        <f>IF(DATAPENDUDUK!C453="","",DATAPENDUDUK!C453)</f>
        <v/>
      </c>
      <c r="D453" s="10" t="str">
        <f>IF(DATAPENDUDUK!E453="","",DATAPENDUDUK!E453)</f>
        <v/>
      </c>
      <c r="E453" s="10" t="str">
        <f>IF(DATAPENDUDUK!F453="","",DATAPENDUDUK!F453)</f>
        <v/>
      </c>
      <c r="F453" s="11" t="str">
        <f>IF(DATAPENDUDUK!H453="","",DATAPENDUDUK!H453)</f>
        <v/>
      </c>
      <c r="G453" s="10" t="str">
        <f t="shared" ca="1" si="12"/>
        <v/>
      </c>
      <c r="H453" t="str">
        <f t="shared" ca="1" si="13"/>
        <v/>
      </c>
    </row>
    <row r="454" spans="1:8" x14ac:dyDescent="0.25">
      <c r="A454" s="10" t="str">
        <f>IF(DATAPENDUDUK!A454="","",DATAPENDUDUK!A454)</f>
        <v/>
      </c>
      <c r="B454" s="13" t="str">
        <f>IF(DATAPENDUDUK!B454="","",DATAPENDUDUK!B454)</f>
        <v/>
      </c>
      <c r="C454" s="10" t="str">
        <f>IF(DATAPENDUDUK!C454="","",DATAPENDUDUK!C454)</f>
        <v/>
      </c>
      <c r="D454" s="10" t="str">
        <f>IF(DATAPENDUDUK!E454="","",DATAPENDUDUK!E454)</f>
        <v/>
      </c>
      <c r="E454" s="10" t="str">
        <f>IF(DATAPENDUDUK!F454="","",DATAPENDUDUK!F454)</f>
        <v/>
      </c>
      <c r="F454" s="11" t="str">
        <f>IF(DATAPENDUDUK!H454="","",DATAPENDUDUK!H454)</f>
        <v/>
      </c>
      <c r="G454" s="10" t="str">
        <f t="shared" ref="G454:G503" ca="1" si="14">IFERROR(DATEDIF(F454,TODAY(),"Y"),"")</f>
        <v/>
      </c>
      <c r="H454" t="str">
        <f t="shared" ref="H454:H503" ca="1" si="15">IF(G454="","",IF(G454&lt;=1,"Bayi",IF(G454&lt;=10,"Anak-Anak",IF(G454&lt;=19,"Remaja",IF(G454&lt;=60,"Dewasa",IF(G454&gt;60,"Lanjut Usia"))))))</f>
        <v/>
      </c>
    </row>
    <row r="455" spans="1:8" x14ac:dyDescent="0.25">
      <c r="A455" s="10" t="str">
        <f>IF(DATAPENDUDUK!A455="","",DATAPENDUDUK!A455)</f>
        <v/>
      </c>
      <c r="B455" s="13" t="str">
        <f>IF(DATAPENDUDUK!B455="","",DATAPENDUDUK!B455)</f>
        <v/>
      </c>
      <c r="C455" s="10" t="str">
        <f>IF(DATAPENDUDUK!C455="","",DATAPENDUDUK!C455)</f>
        <v/>
      </c>
      <c r="D455" s="10" t="str">
        <f>IF(DATAPENDUDUK!E455="","",DATAPENDUDUK!E455)</f>
        <v/>
      </c>
      <c r="E455" s="10" t="str">
        <f>IF(DATAPENDUDUK!F455="","",DATAPENDUDUK!F455)</f>
        <v/>
      </c>
      <c r="F455" s="11" t="str">
        <f>IF(DATAPENDUDUK!H455="","",DATAPENDUDUK!H455)</f>
        <v/>
      </c>
      <c r="G455" s="10" t="str">
        <f t="shared" ca="1" si="14"/>
        <v/>
      </c>
      <c r="H455" t="str">
        <f t="shared" ca="1" si="15"/>
        <v/>
      </c>
    </row>
    <row r="456" spans="1:8" x14ac:dyDescent="0.25">
      <c r="A456" s="10" t="str">
        <f>IF(DATAPENDUDUK!A456="","",DATAPENDUDUK!A456)</f>
        <v/>
      </c>
      <c r="B456" s="13" t="str">
        <f>IF(DATAPENDUDUK!B456="","",DATAPENDUDUK!B456)</f>
        <v/>
      </c>
      <c r="C456" s="10" t="str">
        <f>IF(DATAPENDUDUK!C456="","",DATAPENDUDUK!C456)</f>
        <v/>
      </c>
      <c r="D456" s="10" t="str">
        <f>IF(DATAPENDUDUK!E456="","",DATAPENDUDUK!E456)</f>
        <v/>
      </c>
      <c r="E456" s="10" t="str">
        <f>IF(DATAPENDUDUK!F456="","",DATAPENDUDUK!F456)</f>
        <v/>
      </c>
      <c r="F456" s="11" t="str">
        <f>IF(DATAPENDUDUK!H456="","",DATAPENDUDUK!H456)</f>
        <v/>
      </c>
      <c r="G456" s="10" t="str">
        <f t="shared" ca="1" si="14"/>
        <v/>
      </c>
      <c r="H456" t="str">
        <f t="shared" ca="1" si="15"/>
        <v/>
      </c>
    </row>
    <row r="457" spans="1:8" x14ac:dyDescent="0.25">
      <c r="A457" s="10" t="str">
        <f>IF(DATAPENDUDUK!A457="","",DATAPENDUDUK!A457)</f>
        <v/>
      </c>
      <c r="B457" s="13" t="str">
        <f>IF(DATAPENDUDUK!B457="","",DATAPENDUDUK!B457)</f>
        <v/>
      </c>
      <c r="C457" s="10" t="str">
        <f>IF(DATAPENDUDUK!C457="","",DATAPENDUDUK!C457)</f>
        <v/>
      </c>
      <c r="D457" s="10" t="str">
        <f>IF(DATAPENDUDUK!E457="","",DATAPENDUDUK!E457)</f>
        <v/>
      </c>
      <c r="E457" s="10" t="str">
        <f>IF(DATAPENDUDUK!F457="","",DATAPENDUDUK!F457)</f>
        <v/>
      </c>
      <c r="F457" s="11" t="str">
        <f>IF(DATAPENDUDUK!H457="","",DATAPENDUDUK!H457)</f>
        <v/>
      </c>
      <c r="G457" s="10" t="str">
        <f t="shared" ca="1" si="14"/>
        <v/>
      </c>
      <c r="H457" t="str">
        <f t="shared" ca="1" si="15"/>
        <v/>
      </c>
    </row>
    <row r="458" spans="1:8" x14ac:dyDescent="0.25">
      <c r="A458" s="10" t="str">
        <f>IF(DATAPENDUDUK!A458="","",DATAPENDUDUK!A458)</f>
        <v/>
      </c>
      <c r="B458" s="13" t="str">
        <f>IF(DATAPENDUDUK!B458="","",DATAPENDUDUK!B458)</f>
        <v/>
      </c>
      <c r="C458" s="10" t="str">
        <f>IF(DATAPENDUDUK!C458="","",DATAPENDUDUK!C458)</f>
        <v/>
      </c>
      <c r="D458" s="10" t="str">
        <f>IF(DATAPENDUDUK!E458="","",DATAPENDUDUK!E458)</f>
        <v/>
      </c>
      <c r="E458" s="10" t="str">
        <f>IF(DATAPENDUDUK!F458="","",DATAPENDUDUK!F458)</f>
        <v/>
      </c>
      <c r="F458" s="11" t="str">
        <f>IF(DATAPENDUDUK!H458="","",DATAPENDUDUK!H458)</f>
        <v/>
      </c>
      <c r="G458" s="10" t="str">
        <f t="shared" ca="1" si="14"/>
        <v/>
      </c>
      <c r="H458" t="str">
        <f t="shared" ca="1" si="15"/>
        <v/>
      </c>
    </row>
    <row r="459" spans="1:8" x14ac:dyDescent="0.25">
      <c r="A459" s="10" t="str">
        <f>IF(DATAPENDUDUK!A459="","",DATAPENDUDUK!A459)</f>
        <v/>
      </c>
      <c r="B459" s="13" t="str">
        <f>IF(DATAPENDUDUK!B459="","",DATAPENDUDUK!B459)</f>
        <v/>
      </c>
      <c r="C459" s="10" t="str">
        <f>IF(DATAPENDUDUK!C459="","",DATAPENDUDUK!C459)</f>
        <v/>
      </c>
      <c r="D459" s="10" t="str">
        <f>IF(DATAPENDUDUK!E459="","",DATAPENDUDUK!E459)</f>
        <v/>
      </c>
      <c r="E459" s="10" t="str">
        <f>IF(DATAPENDUDUK!F459="","",DATAPENDUDUK!F459)</f>
        <v/>
      </c>
      <c r="F459" s="11" t="str">
        <f>IF(DATAPENDUDUK!H459="","",DATAPENDUDUK!H459)</f>
        <v/>
      </c>
      <c r="G459" s="10" t="str">
        <f t="shared" ca="1" si="14"/>
        <v/>
      </c>
      <c r="H459" t="str">
        <f t="shared" ca="1" si="15"/>
        <v/>
      </c>
    </row>
    <row r="460" spans="1:8" x14ac:dyDescent="0.25">
      <c r="A460" s="10" t="str">
        <f>IF(DATAPENDUDUK!A460="","",DATAPENDUDUK!A460)</f>
        <v/>
      </c>
      <c r="B460" s="13" t="str">
        <f>IF(DATAPENDUDUK!B460="","",DATAPENDUDUK!B460)</f>
        <v/>
      </c>
      <c r="C460" s="10" t="str">
        <f>IF(DATAPENDUDUK!C460="","",DATAPENDUDUK!C460)</f>
        <v/>
      </c>
      <c r="D460" s="10" t="str">
        <f>IF(DATAPENDUDUK!E460="","",DATAPENDUDUK!E460)</f>
        <v/>
      </c>
      <c r="E460" s="10" t="str">
        <f>IF(DATAPENDUDUK!F460="","",DATAPENDUDUK!F460)</f>
        <v/>
      </c>
      <c r="F460" s="11" t="str">
        <f>IF(DATAPENDUDUK!H460="","",DATAPENDUDUK!H460)</f>
        <v/>
      </c>
      <c r="G460" s="10" t="str">
        <f t="shared" ca="1" si="14"/>
        <v/>
      </c>
      <c r="H460" t="str">
        <f t="shared" ca="1" si="15"/>
        <v/>
      </c>
    </row>
    <row r="461" spans="1:8" x14ac:dyDescent="0.25">
      <c r="A461" s="10" t="str">
        <f>IF(DATAPENDUDUK!A461="","",DATAPENDUDUK!A461)</f>
        <v/>
      </c>
      <c r="B461" s="13" t="str">
        <f>IF(DATAPENDUDUK!B461="","",DATAPENDUDUK!B461)</f>
        <v/>
      </c>
      <c r="C461" s="10" t="str">
        <f>IF(DATAPENDUDUK!C461="","",DATAPENDUDUK!C461)</f>
        <v/>
      </c>
      <c r="D461" s="10" t="str">
        <f>IF(DATAPENDUDUK!E461="","",DATAPENDUDUK!E461)</f>
        <v/>
      </c>
      <c r="E461" s="10" t="str">
        <f>IF(DATAPENDUDUK!F461="","",DATAPENDUDUK!F461)</f>
        <v/>
      </c>
      <c r="F461" s="11" t="str">
        <f>IF(DATAPENDUDUK!H461="","",DATAPENDUDUK!H461)</f>
        <v/>
      </c>
      <c r="G461" s="10" t="str">
        <f t="shared" ca="1" si="14"/>
        <v/>
      </c>
      <c r="H461" t="str">
        <f t="shared" ca="1" si="15"/>
        <v/>
      </c>
    </row>
    <row r="462" spans="1:8" x14ac:dyDescent="0.25">
      <c r="A462" s="10" t="str">
        <f>IF(DATAPENDUDUK!A462="","",DATAPENDUDUK!A462)</f>
        <v/>
      </c>
      <c r="B462" s="13" t="str">
        <f>IF(DATAPENDUDUK!B462="","",DATAPENDUDUK!B462)</f>
        <v/>
      </c>
      <c r="C462" s="10" t="str">
        <f>IF(DATAPENDUDUK!C462="","",DATAPENDUDUK!C462)</f>
        <v/>
      </c>
      <c r="D462" s="10" t="str">
        <f>IF(DATAPENDUDUK!E462="","",DATAPENDUDUK!E462)</f>
        <v/>
      </c>
      <c r="E462" s="10" t="str">
        <f>IF(DATAPENDUDUK!F462="","",DATAPENDUDUK!F462)</f>
        <v/>
      </c>
      <c r="F462" s="11" t="str">
        <f>IF(DATAPENDUDUK!H462="","",DATAPENDUDUK!H462)</f>
        <v/>
      </c>
      <c r="G462" s="10" t="str">
        <f t="shared" ca="1" si="14"/>
        <v/>
      </c>
      <c r="H462" t="str">
        <f t="shared" ca="1" si="15"/>
        <v/>
      </c>
    </row>
    <row r="463" spans="1:8" x14ac:dyDescent="0.25">
      <c r="A463" s="10" t="str">
        <f>IF(DATAPENDUDUK!A463="","",DATAPENDUDUK!A463)</f>
        <v/>
      </c>
      <c r="B463" s="13" t="str">
        <f>IF(DATAPENDUDUK!B463="","",DATAPENDUDUK!B463)</f>
        <v/>
      </c>
      <c r="C463" s="10" t="str">
        <f>IF(DATAPENDUDUK!C463="","",DATAPENDUDUK!C463)</f>
        <v/>
      </c>
      <c r="D463" s="10" t="str">
        <f>IF(DATAPENDUDUK!E463="","",DATAPENDUDUK!E463)</f>
        <v/>
      </c>
      <c r="E463" s="10" t="str">
        <f>IF(DATAPENDUDUK!F463="","",DATAPENDUDUK!F463)</f>
        <v/>
      </c>
      <c r="F463" s="11" t="str">
        <f>IF(DATAPENDUDUK!H463="","",DATAPENDUDUK!H463)</f>
        <v/>
      </c>
      <c r="G463" s="10" t="str">
        <f t="shared" ca="1" si="14"/>
        <v/>
      </c>
      <c r="H463" t="str">
        <f t="shared" ca="1" si="15"/>
        <v/>
      </c>
    </row>
    <row r="464" spans="1:8" x14ac:dyDescent="0.25">
      <c r="A464" s="10" t="str">
        <f>IF(DATAPENDUDUK!A464="","",DATAPENDUDUK!A464)</f>
        <v/>
      </c>
      <c r="B464" s="13" t="str">
        <f>IF(DATAPENDUDUK!B464="","",DATAPENDUDUK!B464)</f>
        <v/>
      </c>
      <c r="C464" s="10" t="str">
        <f>IF(DATAPENDUDUK!C464="","",DATAPENDUDUK!C464)</f>
        <v/>
      </c>
      <c r="D464" s="10" t="str">
        <f>IF(DATAPENDUDUK!E464="","",DATAPENDUDUK!E464)</f>
        <v/>
      </c>
      <c r="E464" s="10" t="str">
        <f>IF(DATAPENDUDUK!F464="","",DATAPENDUDUK!F464)</f>
        <v/>
      </c>
      <c r="F464" s="11" t="str">
        <f>IF(DATAPENDUDUK!H464="","",DATAPENDUDUK!H464)</f>
        <v/>
      </c>
      <c r="G464" s="10" t="str">
        <f t="shared" ca="1" si="14"/>
        <v/>
      </c>
      <c r="H464" t="str">
        <f t="shared" ca="1" si="15"/>
        <v/>
      </c>
    </row>
    <row r="465" spans="1:8" x14ac:dyDescent="0.25">
      <c r="A465" s="10" t="str">
        <f>IF(DATAPENDUDUK!A465="","",DATAPENDUDUK!A465)</f>
        <v/>
      </c>
      <c r="B465" s="13" t="str">
        <f>IF(DATAPENDUDUK!B465="","",DATAPENDUDUK!B465)</f>
        <v/>
      </c>
      <c r="C465" s="10" t="str">
        <f>IF(DATAPENDUDUK!C465="","",DATAPENDUDUK!C465)</f>
        <v/>
      </c>
      <c r="D465" s="10" t="str">
        <f>IF(DATAPENDUDUK!E465="","",DATAPENDUDUK!E465)</f>
        <v/>
      </c>
      <c r="E465" s="10" t="str">
        <f>IF(DATAPENDUDUK!F465="","",DATAPENDUDUK!F465)</f>
        <v/>
      </c>
      <c r="F465" s="11" t="str">
        <f>IF(DATAPENDUDUK!H465="","",DATAPENDUDUK!H465)</f>
        <v/>
      </c>
      <c r="G465" s="10" t="str">
        <f t="shared" ca="1" si="14"/>
        <v/>
      </c>
      <c r="H465" t="str">
        <f t="shared" ca="1" si="15"/>
        <v/>
      </c>
    </row>
    <row r="466" spans="1:8" x14ac:dyDescent="0.25">
      <c r="A466" s="10" t="str">
        <f>IF(DATAPENDUDUK!A466="","",DATAPENDUDUK!A466)</f>
        <v/>
      </c>
      <c r="B466" s="13" t="str">
        <f>IF(DATAPENDUDUK!B466="","",DATAPENDUDUK!B466)</f>
        <v/>
      </c>
      <c r="C466" s="10" t="str">
        <f>IF(DATAPENDUDUK!C466="","",DATAPENDUDUK!C466)</f>
        <v/>
      </c>
      <c r="D466" s="10" t="str">
        <f>IF(DATAPENDUDUK!E466="","",DATAPENDUDUK!E466)</f>
        <v/>
      </c>
      <c r="E466" s="10" t="str">
        <f>IF(DATAPENDUDUK!F466="","",DATAPENDUDUK!F466)</f>
        <v/>
      </c>
      <c r="F466" s="11" t="str">
        <f>IF(DATAPENDUDUK!H466="","",DATAPENDUDUK!H466)</f>
        <v/>
      </c>
      <c r="G466" s="10" t="str">
        <f t="shared" ca="1" si="14"/>
        <v/>
      </c>
      <c r="H466" t="str">
        <f t="shared" ca="1" si="15"/>
        <v/>
      </c>
    </row>
    <row r="467" spans="1:8" x14ac:dyDescent="0.25">
      <c r="A467" s="10" t="str">
        <f>IF(DATAPENDUDUK!A467="","",DATAPENDUDUK!A467)</f>
        <v/>
      </c>
      <c r="B467" s="13" t="str">
        <f>IF(DATAPENDUDUK!B467="","",DATAPENDUDUK!B467)</f>
        <v/>
      </c>
      <c r="C467" s="10" t="str">
        <f>IF(DATAPENDUDUK!C467="","",DATAPENDUDUK!C467)</f>
        <v/>
      </c>
      <c r="D467" s="10" t="str">
        <f>IF(DATAPENDUDUK!E467="","",DATAPENDUDUK!E467)</f>
        <v/>
      </c>
      <c r="E467" s="10" t="str">
        <f>IF(DATAPENDUDUK!F467="","",DATAPENDUDUK!F467)</f>
        <v/>
      </c>
      <c r="F467" s="11" t="str">
        <f>IF(DATAPENDUDUK!H467="","",DATAPENDUDUK!H467)</f>
        <v/>
      </c>
      <c r="G467" s="10" t="str">
        <f t="shared" ca="1" si="14"/>
        <v/>
      </c>
      <c r="H467" t="str">
        <f t="shared" ca="1" si="15"/>
        <v/>
      </c>
    </row>
    <row r="468" spans="1:8" x14ac:dyDescent="0.25">
      <c r="A468" s="10" t="str">
        <f>IF(DATAPENDUDUK!A468="","",DATAPENDUDUK!A468)</f>
        <v/>
      </c>
      <c r="B468" s="13" t="str">
        <f>IF(DATAPENDUDUK!B468="","",DATAPENDUDUK!B468)</f>
        <v/>
      </c>
      <c r="C468" s="10" t="str">
        <f>IF(DATAPENDUDUK!C468="","",DATAPENDUDUK!C468)</f>
        <v/>
      </c>
      <c r="D468" s="10" t="str">
        <f>IF(DATAPENDUDUK!E468="","",DATAPENDUDUK!E468)</f>
        <v/>
      </c>
      <c r="E468" s="10" t="str">
        <f>IF(DATAPENDUDUK!F468="","",DATAPENDUDUK!F468)</f>
        <v/>
      </c>
      <c r="F468" s="11" t="str">
        <f>IF(DATAPENDUDUK!H468="","",DATAPENDUDUK!H468)</f>
        <v/>
      </c>
      <c r="G468" s="10" t="str">
        <f t="shared" ca="1" si="14"/>
        <v/>
      </c>
      <c r="H468" t="str">
        <f t="shared" ca="1" si="15"/>
        <v/>
      </c>
    </row>
    <row r="469" spans="1:8" x14ac:dyDescent="0.25">
      <c r="A469" s="10" t="str">
        <f>IF(DATAPENDUDUK!A469="","",DATAPENDUDUK!A469)</f>
        <v/>
      </c>
      <c r="B469" s="13" t="str">
        <f>IF(DATAPENDUDUK!B469="","",DATAPENDUDUK!B469)</f>
        <v/>
      </c>
      <c r="C469" s="10" t="str">
        <f>IF(DATAPENDUDUK!C469="","",DATAPENDUDUK!C469)</f>
        <v/>
      </c>
      <c r="D469" s="10" t="str">
        <f>IF(DATAPENDUDUK!E469="","",DATAPENDUDUK!E469)</f>
        <v/>
      </c>
      <c r="E469" s="10" t="str">
        <f>IF(DATAPENDUDUK!F469="","",DATAPENDUDUK!F469)</f>
        <v/>
      </c>
      <c r="F469" s="11" t="str">
        <f>IF(DATAPENDUDUK!H469="","",DATAPENDUDUK!H469)</f>
        <v/>
      </c>
      <c r="G469" s="10" t="str">
        <f t="shared" ca="1" si="14"/>
        <v/>
      </c>
      <c r="H469" t="str">
        <f t="shared" ca="1" si="15"/>
        <v/>
      </c>
    </row>
    <row r="470" spans="1:8" x14ac:dyDescent="0.25">
      <c r="A470" s="10" t="str">
        <f>IF(DATAPENDUDUK!A470="","",DATAPENDUDUK!A470)</f>
        <v/>
      </c>
      <c r="B470" s="13" t="str">
        <f>IF(DATAPENDUDUK!B470="","",DATAPENDUDUK!B470)</f>
        <v/>
      </c>
      <c r="C470" s="10" t="str">
        <f>IF(DATAPENDUDUK!C470="","",DATAPENDUDUK!C470)</f>
        <v/>
      </c>
      <c r="D470" s="10" t="str">
        <f>IF(DATAPENDUDUK!E470="","",DATAPENDUDUK!E470)</f>
        <v/>
      </c>
      <c r="E470" s="10" t="str">
        <f>IF(DATAPENDUDUK!F470="","",DATAPENDUDUK!F470)</f>
        <v/>
      </c>
      <c r="F470" s="11" t="str">
        <f>IF(DATAPENDUDUK!H470="","",DATAPENDUDUK!H470)</f>
        <v/>
      </c>
      <c r="G470" s="10" t="str">
        <f t="shared" ca="1" si="14"/>
        <v/>
      </c>
      <c r="H470" t="str">
        <f t="shared" ca="1" si="15"/>
        <v/>
      </c>
    </row>
    <row r="471" spans="1:8" x14ac:dyDescent="0.25">
      <c r="A471" s="10" t="str">
        <f>IF(DATAPENDUDUK!A471="","",DATAPENDUDUK!A471)</f>
        <v/>
      </c>
      <c r="B471" s="13" t="str">
        <f>IF(DATAPENDUDUK!B471="","",DATAPENDUDUK!B471)</f>
        <v/>
      </c>
      <c r="C471" s="10" t="str">
        <f>IF(DATAPENDUDUK!C471="","",DATAPENDUDUK!C471)</f>
        <v/>
      </c>
      <c r="D471" s="10" t="str">
        <f>IF(DATAPENDUDUK!E471="","",DATAPENDUDUK!E471)</f>
        <v/>
      </c>
      <c r="E471" s="10" t="str">
        <f>IF(DATAPENDUDUK!F471="","",DATAPENDUDUK!F471)</f>
        <v/>
      </c>
      <c r="F471" s="11" t="str">
        <f>IF(DATAPENDUDUK!H471="","",DATAPENDUDUK!H471)</f>
        <v/>
      </c>
      <c r="G471" s="10" t="str">
        <f t="shared" ca="1" si="14"/>
        <v/>
      </c>
      <c r="H471" t="str">
        <f t="shared" ca="1" si="15"/>
        <v/>
      </c>
    </row>
    <row r="472" spans="1:8" x14ac:dyDescent="0.25">
      <c r="A472" s="10" t="str">
        <f>IF(DATAPENDUDUK!A472="","",DATAPENDUDUK!A472)</f>
        <v/>
      </c>
      <c r="B472" s="13" t="str">
        <f>IF(DATAPENDUDUK!B472="","",DATAPENDUDUK!B472)</f>
        <v/>
      </c>
      <c r="C472" s="10" t="str">
        <f>IF(DATAPENDUDUK!C472="","",DATAPENDUDUK!C472)</f>
        <v/>
      </c>
      <c r="D472" s="10" t="str">
        <f>IF(DATAPENDUDUK!E472="","",DATAPENDUDUK!E472)</f>
        <v/>
      </c>
      <c r="E472" s="10" t="str">
        <f>IF(DATAPENDUDUK!F472="","",DATAPENDUDUK!F472)</f>
        <v/>
      </c>
      <c r="F472" s="11" t="str">
        <f>IF(DATAPENDUDUK!H472="","",DATAPENDUDUK!H472)</f>
        <v/>
      </c>
      <c r="G472" s="10" t="str">
        <f t="shared" ca="1" si="14"/>
        <v/>
      </c>
      <c r="H472" t="str">
        <f t="shared" ca="1" si="15"/>
        <v/>
      </c>
    </row>
    <row r="473" spans="1:8" x14ac:dyDescent="0.25">
      <c r="A473" s="10" t="str">
        <f>IF(DATAPENDUDUK!A473="","",DATAPENDUDUK!A473)</f>
        <v/>
      </c>
      <c r="B473" s="13" t="str">
        <f>IF(DATAPENDUDUK!B473="","",DATAPENDUDUK!B473)</f>
        <v/>
      </c>
      <c r="C473" s="10" t="str">
        <f>IF(DATAPENDUDUK!C473="","",DATAPENDUDUK!C473)</f>
        <v/>
      </c>
      <c r="D473" s="10" t="str">
        <f>IF(DATAPENDUDUK!E473="","",DATAPENDUDUK!E473)</f>
        <v/>
      </c>
      <c r="E473" s="10" t="str">
        <f>IF(DATAPENDUDUK!F473="","",DATAPENDUDUK!F473)</f>
        <v/>
      </c>
      <c r="F473" s="11" t="str">
        <f>IF(DATAPENDUDUK!H473="","",DATAPENDUDUK!H473)</f>
        <v/>
      </c>
      <c r="G473" s="10" t="str">
        <f t="shared" ca="1" si="14"/>
        <v/>
      </c>
      <c r="H473" t="str">
        <f t="shared" ca="1" si="15"/>
        <v/>
      </c>
    </row>
    <row r="474" spans="1:8" x14ac:dyDescent="0.25">
      <c r="A474" s="10" t="str">
        <f>IF(DATAPENDUDUK!A474="","",DATAPENDUDUK!A474)</f>
        <v/>
      </c>
      <c r="B474" s="13" t="str">
        <f>IF(DATAPENDUDUK!B474="","",DATAPENDUDUK!B474)</f>
        <v/>
      </c>
      <c r="C474" s="10" t="str">
        <f>IF(DATAPENDUDUK!C474="","",DATAPENDUDUK!C474)</f>
        <v/>
      </c>
      <c r="D474" s="10" t="str">
        <f>IF(DATAPENDUDUK!E474="","",DATAPENDUDUK!E474)</f>
        <v/>
      </c>
      <c r="E474" s="10" t="str">
        <f>IF(DATAPENDUDUK!F474="","",DATAPENDUDUK!F474)</f>
        <v/>
      </c>
      <c r="F474" s="11" t="str">
        <f>IF(DATAPENDUDUK!H474="","",DATAPENDUDUK!H474)</f>
        <v/>
      </c>
      <c r="G474" s="10" t="str">
        <f t="shared" ca="1" si="14"/>
        <v/>
      </c>
      <c r="H474" t="str">
        <f t="shared" ca="1" si="15"/>
        <v/>
      </c>
    </row>
    <row r="475" spans="1:8" x14ac:dyDescent="0.25">
      <c r="A475" s="10" t="str">
        <f>IF(DATAPENDUDUK!A475="","",DATAPENDUDUK!A475)</f>
        <v/>
      </c>
      <c r="B475" s="13" t="str">
        <f>IF(DATAPENDUDUK!B475="","",DATAPENDUDUK!B475)</f>
        <v/>
      </c>
      <c r="C475" s="10" t="str">
        <f>IF(DATAPENDUDUK!C475="","",DATAPENDUDUK!C475)</f>
        <v/>
      </c>
      <c r="D475" s="10" t="str">
        <f>IF(DATAPENDUDUK!E475="","",DATAPENDUDUK!E475)</f>
        <v/>
      </c>
      <c r="E475" s="10" t="str">
        <f>IF(DATAPENDUDUK!F475="","",DATAPENDUDUK!F475)</f>
        <v/>
      </c>
      <c r="F475" s="11" t="str">
        <f>IF(DATAPENDUDUK!H475="","",DATAPENDUDUK!H475)</f>
        <v/>
      </c>
      <c r="G475" s="10" t="str">
        <f t="shared" ca="1" si="14"/>
        <v/>
      </c>
      <c r="H475" t="str">
        <f t="shared" ca="1" si="15"/>
        <v/>
      </c>
    </row>
    <row r="476" spans="1:8" x14ac:dyDescent="0.25">
      <c r="A476" s="10" t="str">
        <f>IF(DATAPENDUDUK!A476="","",DATAPENDUDUK!A476)</f>
        <v/>
      </c>
      <c r="B476" s="13" t="str">
        <f>IF(DATAPENDUDUK!B476="","",DATAPENDUDUK!B476)</f>
        <v/>
      </c>
      <c r="C476" s="10" t="str">
        <f>IF(DATAPENDUDUK!C476="","",DATAPENDUDUK!C476)</f>
        <v/>
      </c>
      <c r="D476" s="10" t="str">
        <f>IF(DATAPENDUDUK!E476="","",DATAPENDUDUK!E476)</f>
        <v/>
      </c>
      <c r="E476" s="10" t="str">
        <f>IF(DATAPENDUDUK!F476="","",DATAPENDUDUK!F476)</f>
        <v/>
      </c>
      <c r="F476" s="11" t="str">
        <f>IF(DATAPENDUDUK!H476="","",DATAPENDUDUK!H476)</f>
        <v/>
      </c>
      <c r="G476" s="10" t="str">
        <f t="shared" ca="1" si="14"/>
        <v/>
      </c>
      <c r="H476" t="str">
        <f t="shared" ca="1" si="15"/>
        <v/>
      </c>
    </row>
    <row r="477" spans="1:8" x14ac:dyDescent="0.25">
      <c r="A477" s="10" t="str">
        <f>IF(DATAPENDUDUK!A477="","",DATAPENDUDUK!A477)</f>
        <v/>
      </c>
      <c r="B477" s="13" t="str">
        <f>IF(DATAPENDUDUK!B477="","",DATAPENDUDUK!B477)</f>
        <v/>
      </c>
      <c r="C477" s="10" t="str">
        <f>IF(DATAPENDUDUK!C477="","",DATAPENDUDUK!C477)</f>
        <v/>
      </c>
      <c r="D477" s="10" t="str">
        <f>IF(DATAPENDUDUK!E477="","",DATAPENDUDUK!E477)</f>
        <v/>
      </c>
      <c r="E477" s="10" t="str">
        <f>IF(DATAPENDUDUK!F477="","",DATAPENDUDUK!F477)</f>
        <v/>
      </c>
      <c r="F477" s="11" t="str">
        <f>IF(DATAPENDUDUK!H477="","",DATAPENDUDUK!H477)</f>
        <v/>
      </c>
      <c r="G477" s="10" t="str">
        <f t="shared" ca="1" si="14"/>
        <v/>
      </c>
      <c r="H477" t="str">
        <f t="shared" ca="1" si="15"/>
        <v/>
      </c>
    </row>
    <row r="478" spans="1:8" x14ac:dyDescent="0.25">
      <c r="A478" s="10" t="str">
        <f>IF(DATAPENDUDUK!A478="","",DATAPENDUDUK!A478)</f>
        <v/>
      </c>
      <c r="B478" s="13" t="str">
        <f>IF(DATAPENDUDUK!B478="","",DATAPENDUDUK!B478)</f>
        <v/>
      </c>
      <c r="C478" s="10" t="str">
        <f>IF(DATAPENDUDUK!C478="","",DATAPENDUDUK!C478)</f>
        <v/>
      </c>
      <c r="D478" s="10" t="str">
        <f>IF(DATAPENDUDUK!E478="","",DATAPENDUDUK!E478)</f>
        <v/>
      </c>
      <c r="E478" s="10" t="str">
        <f>IF(DATAPENDUDUK!F478="","",DATAPENDUDUK!F478)</f>
        <v/>
      </c>
      <c r="F478" s="11" t="str">
        <f>IF(DATAPENDUDUK!H478="","",DATAPENDUDUK!H478)</f>
        <v/>
      </c>
      <c r="G478" s="10" t="str">
        <f t="shared" ca="1" si="14"/>
        <v/>
      </c>
      <c r="H478" t="str">
        <f t="shared" ca="1" si="15"/>
        <v/>
      </c>
    </row>
    <row r="479" spans="1:8" x14ac:dyDescent="0.25">
      <c r="A479" s="10" t="str">
        <f>IF(DATAPENDUDUK!A479="","",DATAPENDUDUK!A479)</f>
        <v/>
      </c>
      <c r="B479" s="13" t="str">
        <f>IF(DATAPENDUDUK!B479="","",DATAPENDUDUK!B479)</f>
        <v/>
      </c>
      <c r="C479" s="10" t="str">
        <f>IF(DATAPENDUDUK!C479="","",DATAPENDUDUK!C479)</f>
        <v/>
      </c>
      <c r="D479" s="10" t="str">
        <f>IF(DATAPENDUDUK!E479="","",DATAPENDUDUK!E479)</f>
        <v/>
      </c>
      <c r="E479" s="10" t="str">
        <f>IF(DATAPENDUDUK!F479="","",DATAPENDUDUK!F479)</f>
        <v/>
      </c>
      <c r="F479" s="11" t="str">
        <f>IF(DATAPENDUDUK!H479="","",DATAPENDUDUK!H479)</f>
        <v/>
      </c>
      <c r="G479" s="10" t="str">
        <f t="shared" ca="1" si="14"/>
        <v/>
      </c>
      <c r="H479" t="str">
        <f t="shared" ca="1" si="15"/>
        <v/>
      </c>
    </row>
    <row r="480" spans="1:8" x14ac:dyDescent="0.25">
      <c r="A480" s="10" t="str">
        <f>IF(DATAPENDUDUK!A480="","",DATAPENDUDUK!A480)</f>
        <v/>
      </c>
      <c r="B480" s="13" t="str">
        <f>IF(DATAPENDUDUK!B480="","",DATAPENDUDUK!B480)</f>
        <v/>
      </c>
      <c r="C480" s="10" t="str">
        <f>IF(DATAPENDUDUK!C480="","",DATAPENDUDUK!C480)</f>
        <v/>
      </c>
      <c r="D480" s="10" t="str">
        <f>IF(DATAPENDUDUK!E480="","",DATAPENDUDUK!E480)</f>
        <v/>
      </c>
      <c r="E480" s="10" t="str">
        <f>IF(DATAPENDUDUK!F480="","",DATAPENDUDUK!F480)</f>
        <v/>
      </c>
      <c r="F480" s="11" t="str">
        <f>IF(DATAPENDUDUK!H480="","",DATAPENDUDUK!H480)</f>
        <v/>
      </c>
      <c r="G480" s="10" t="str">
        <f t="shared" ca="1" si="14"/>
        <v/>
      </c>
      <c r="H480" t="str">
        <f t="shared" ca="1" si="15"/>
        <v/>
      </c>
    </row>
    <row r="481" spans="1:8" x14ac:dyDescent="0.25">
      <c r="A481" s="10" t="str">
        <f>IF(DATAPENDUDUK!A481="","",DATAPENDUDUK!A481)</f>
        <v/>
      </c>
      <c r="B481" s="13" t="str">
        <f>IF(DATAPENDUDUK!B481="","",DATAPENDUDUK!B481)</f>
        <v/>
      </c>
      <c r="C481" s="10" t="str">
        <f>IF(DATAPENDUDUK!C481="","",DATAPENDUDUK!C481)</f>
        <v/>
      </c>
      <c r="D481" s="10" t="str">
        <f>IF(DATAPENDUDUK!E481="","",DATAPENDUDUK!E481)</f>
        <v/>
      </c>
      <c r="E481" s="10" t="str">
        <f>IF(DATAPENDUDUK!F481="","",DATAPENDUDUK!F481)</f>
        <v/>
      </c>
      <c r="F481" s="11" t="str">
        <f>IF(DATAPENDUDUK!H481="","",DATAPENDUDUK!H481)</f>
        <v/>
      </c>
      <c r="G481" s="10" t="str">
        <f t="shared" ca="1" si="14"/>
        <v/>
      </c>
      <c r="H481" t="str">
        <f t="shared" ca="1" si="15"/>
        <v/>
      </c>
    </row>
    <row r="482" spans="1:8" x14ac:dyDescent="0.25">
      <c r="A482" s="10" t="str">
        <f>IF(DATAPENDUDUK!A482="","",DATAPENDUDUK!A482)</f>
        <v/>
      </c>
      <c r="B482" s="13" t="str">
        <f>IF(DATAPENDUDUK!B482="","",DATAPENDUDUK!B482)</f>
        <v/>
      </c>
      <c r="C482" s="10" t="str">
        <f>IF(DATAPENDUDUK!C482="","",DATAPENDUDUK!C482)</f>
        <v/>
      </c>
      <c r="D482" s="10" t="str">
        <f>IF(DATAPENDUDUK!E482="","",DATAPENDUDUK!E482)</f>
        <v/>
      </c>
      <c r="E482" s="10" t="str">
        <f>IF(DATAPENDUDUK!F482="","",DATAPENDUDUK!F482)</f>
        <v/>
      </c>
      <c r="F482" s="11" t="str">
        <f>IF(DATAPENDUDUK!H482="","",DATAPENDUDUK!H482)</f>
        <v/>
      </c>
      <c r="G482" s="10" t="str">
        <f t="shared" ca="1" si="14"/>
        <v/>
      </c>
      <c r="H482" t="str">
        <f t="shared" ca="1" si="15"/>
        <v/>
      </c>
    </row>
    <row r="483" spans="1:8" x14ac:dyDescent="0.25">
      <c r="A483" s="10" t="str">
        <f>IF(DATAPENDUDUK!A483="","",DATAPENDUDUK!A483)</f>
        <v/>
      </c>
      <c r="B483" s="13" t="str">
        <f>IF(DATAPENDUDUK!B483="","",DATAPENDUDUK!B483)</f>
        <v/>
      </c>
      <c r="C483" s="10" t="str">
        <f>IF(DATAPENDUDUK!C483="","",DATAPENDUDUK!C483)</f>
        <v/>
      </c>
      <c r="D483" s="10" t="str">
        <f>IF(DATAPENDUDUK!E483="","",DATAPENDUDUK!E483)</f>
        <v/>
      </c>
      <c r="E483" s="10" t="str">
        <f>IF(DATAPENDUDUK!F483="","",DATAPENDUDUK!F483)</f>
        <v/>
      </c>
      <c r="F483" s="11" t="str">
        <f>IF(DATAPENDUDUK!H483="","",DATAPENDUDUK!H483)</f>
        <v/>
      </c>
      <c r="G483" s="10" t="str">
        <f t="shared" ca="1" si="14"/>
        <v/>
      </c>
      <c r="H483" t="str">
        <f t="shared" ca="1" si="15"/>
        <v/>
      </c>
    </row>
    <row r="484" spans="1:8" x14ac:dyDescent="0.25">
      <c r="A484" s="10" t="str">
        <f>IF(DATAPENDUDUK!A484="","",DATAPENDUDUK!A484)</f>
        <v/>
      </c>
      <c r="B484" s="13" t="str">
        <f>IF(DATAPENDUDUK!B484="","",DATAPENDUDUK!B484)</f>
        <v/>
      </c>
      <c r="C484" s="10" t="str">
        <f>IF(DATAPENDUDUK!C484="","",DATAPENDUDUK!C484)</f>
        <v/>
      </c>
      <c r="D484" s="10" t="str">
        <f>IF(DATAPENDUDUK!E484="","",DATAPENDUDUK!E484)</f>
        <v/>
      </c>
      <c r="E484" s="10" t="str">
        <f>IF(DATAPENDUDUK!F484="","",DATAPENDUDUK!F484)</f>
        <v/>
      </c>
      <c r="F484" s="11" t="str">
        <f>IF(DATAPENDUDUK!H484="","",DATAPENDUDUK!H484)</f>
        <v/>
      </c>
      <c r="G484" s="10" t="str">
        <f t="shared" ca="1" si="14"/>
        <v/>
      </c>
      <c r="H484" t="str">
        <f t="shared" ca="1" si="15"/>
        <v/>
      </c>
    </row>
    <row r="485" spans="1:8" x14ac:dyDescent="0.25">
      <c r="A485" s="10" t="str">
        <f>IF(DATAPENDUDUK!A485="","",DATAPENDUDUK!A485)</f>
        <v/>
      </c>
      <c r="B485" s="13" t="str">
        <f>IF(DATAPENDUDUK!B485="","",DATAPENDUDUK!B485)</f>
        <v/>
      </c>
      <c r="C485" s="10" t="str">
        <f>IF(DATAPENDUDUK!C485="","",DATAPENDUDUK!C485)</f>
        <v/>
      </c>
      <c r="D485" s="10" t="str">
        <f>IF(DATAPENDUDUK!E485="","",DATAPENDUDUK!E485)</f>
        <v/>
      </c>
      <c r="E485" s="10" t="str">
        <f>IF(DATAPENDUDUK!F485="","",DATAPENDUDUK!F485)</f>
        <v/>
      </c>
      <c r="F485" s="11" t="str">
        <f>IF(DATAPENDUDUK!H485="","",DATAPENDUDUK!H485)</f>
        <v/>
      </c>
      <c r="G485" s="10" t="str">
        <f t="shared" ca="1" si="14"/>
        <v/>
      </c>
      <c r="H485" t="str">
        <f t="shared" ca="1" si="15"/>
        <v/>
      </c>
    </row>
    <row r="486" spans="1:8" x14ac:dyDescent="0.25">
      <c r="A486" s="10" t="str">
        <f>IF(DATAPENDUDUK!A486="","",DATAPENDUDUK!A486)</f>
        <v/>
      </c>
      <c r="B486" s="13" t="str">
        <f>IF(DATAPENDUDUK!B486="","",DATAPENDUDUK!B486)</f>
        <v/>
      </c>
      <c r="C486" s="10" t="str">
        <f>IF(DATAPENDUDUK!C486="","",DATAPENDUDUK!C486)</f>
        <v/>
      </c>
      <c r="D486" s="10" t="str">
        <f>IF(DATAPENDUDUK!E486="","",DATAPENDUDUK!E486)</f>
        <v/>
      </c>
      <c r="E486" s="10" t="str">
        <f>IF(DATAPENDUDUK!F486="","",DATAPENDUDUK!F486)</f>
        <v/>
      </c>
      <c r="F486" s="11" t="str">
        <f>IF(DATAPENDUDUK!H486="","",DATAPENDUDUK!H486)</f>
        <v/>
      </c>
      <c r="G486" s="10" t="str">
        <f t="shared" ca="1" si="14"/>
        <v/>
      </c>
      <c r="H486" t="str">
        <f t="shared" ca="1" si="15"/>
        <v/>
      </c>
    </row>
    <row r="487" spans="1:8" x14ac:dyDescent="0.25">
      <c r="A487" s="10" t="str">
        <f>IF(DATAPENDUDUK!A487="","",DATAPENDUDUK!A487)</f>
        <v/>
      </c>
      <c r="B487" s="13" t="str">
        <f>IF(DATAPENDUDUK!B487="","",DATAPENDUDUK!B487)</f>
        <v/>
      </c>
      <c r="C487" s="10" t="str">
        <f>IF(DATAPENDUDUK!C487="","",DATAPENDUDUK!C487)</f>
        <v/>
      </c>
      <c r="D487" s="10" t="str">
        <f>IF(DATAPENDUDUK!E487="","",DATAPENDUDUK!E487)</f>
        <v/>
      </c>
      <c r="E487" s="10" t="str">
        <f>IF(DATAPENDUDUK!F487="","",DATAPENDUDUK!F487)</f>
        <v/>
      </c>
      <c r="F487" s="11" t="str">
        <f>IF(DATAPENDUDUK!H487="","",DATAPENDUDUK!H487)</f>
        <v/>
      </c>
      <c r="G487" s="10" t="str">
        <f t="shared" ca="1" si="14"/>
        <v/>
      </c>
      <c r="H487" t="str">
        <f t="shared" ca="1" si="15"/>
        <v/>
      </c>
    </row>
    <row r="488" spans="1:8" x14ac:dyDescent="0.25">
      <c r="A488" s="10" t="str">
        <f>IF(DATAPENDUDUK!A488="","",DATAPENDUDUK!A488)</f>
        <v/>
      </c>
      <c r="B488" s="13" t="str">
        <f>IF(DATAPENDUDUK!B488="","",DATAPENDUDUK!B488)</f>
        <v/>
      </c>
      <c r="C488" s="10" t="str">
        <f>IF(DATAPENDUDUK!C488="","",DATAPENDUDUK!C488)</f>
        <v/>
      </c>
      <c r="D488" s="10" t="str">
        <f>IF(DATAPENDUDUK!E488="","",DATAPENDUDUK!E488)</f>
        <v/>
      </c>
      <c r="E488" s="10" t="str">
        <f>IF(DATAPENDUDUK!F488="","",DATAPENDUDUK!F488)</f>
        <v/>
      </c>
      <c r="F488" s="11" t="str">
        <f>IF(DATAPENDUDUK!H488="","",DATAPENDUDUK!H488)</f>
        <v/>
      </c>
      <c r="G488" s="10" t="str">
        <f t="shared" ca="1" si="14"/>
        <v/>
      </c>
      <c r="H488" t="str">
        <f t="shared" ca="1" si="15"/>
        <v/>
      </c>
    </row>
    <row r="489" spans="1:8" x14ac:dyDescent="0.25">
      <c r="A489" s="10" t="str">
        <f>IF(DATAPENDUDUK!A489="","",DATAPENDUDUK!A489)</f>
        <v/>
      </c>
      <c r="B489" s="13" t="str">
        <f>IF(DATAPENDUDUK!B489="","",DATAPENDUDUK!B489)</f>
        <v/>
      </c>
      <c r="C489" s="10" t="str">
        <f>IF(DATAPENDUDUK!C489="","",DATAPENDUDUK!C489)</f>
        <v/>
      </c>
      <c r="D489" s="10" t="str">
        <f>IF(DATAPENDUDUK!E489="","",DATAPENDUDUK!E489)</f>
        <v/>
      </c>
      <c r="E489" s="10" t="str">
        <f>IF(DATAPENDUDUK!F489="","",DATAPENDUDUK!F489)</f>
        <v/>
      </c>
      <c r="F489" s="11" t="str">
        <f>IF(DATAPENDUDUK!H489="","",DATAPENDUDUK!H489)</f>
        <v/>
      </c>
      <c r="G489" s="10" t="str">
        <f t="shared" ca="1" si="14"/>
        <v/>
      </c>
      <c r="H489" t="str">
        <f t="shared" ca="1" si="15"/>
        <v/>
      </c>
    </row>
    <row r="490" spans="1:8" x14ac:dyDescent="0.25">
      <c r="A490" s="10" t="str">
        <f>IF(DATAPENDUDUK!A490="","",DATAPENDUDUK!A490)</f>
        <v/>
      </c>
      <c r="B490" s="13" t="str">
        <f>IF(DATAPENDUDUK!B490="","",DATAPENDUDUK!B490)</f>
        <v/>
      </c>
      <c r="C490" s="10" t="str">
        <f>IF(DATAPENDUDUK!C490="","",DATAPENDUDUK!C490)</f>
        <v/>
      </c>
      <c r="D490" s="10" t="str">
        <f>IF(DATAPENDUDUK!E490="","",DATAPENDUDUK!E490)</f>
        <v/>
      </c>
      <c r="E490" s="10" t="str">
        <f>IF(DATAPENDUDUK!F490="","",DATAPENDUDUK!F490)</f>
        <v/>
      </c>
      <c r="F490" s="11" t="str">
        <f>IF(DATAPENDUDUK!H490="","",DATAPENDUDUK!H490)</f>
        <v/>
      </c>
      <c r="G490" s="10" t="str">
        <f t="shared" ca="1" si="14"/>
        <v/>
      </c>
      <c r="H490" t="str">
        <f t="shared" ca="1" si="15"/>
        <v/>
      </c>
    </row>
    <row r="491" spans="1:8" x14ac:dyDescent="0.25">
      <c r="A491" s="10" t="str">
        <f>IF(DATAPENDUDUK!A491="","",DATAPENDUDUK!A491)</f>
        <v/>
      </c>
      <c r="B491" s="13" t="str">
        <f>IF(DATAPENDUDUK!B491="","",DATAPENDUDUK!B491)</f>
        <v/>
      </c>
      <c r="C491" s="10" t="str">
        <f>IF(DATAPENDUDUK!C491="","",DATAPENDUDUK!C491)</f>
        <v/>
      </c>
      <c r="D491" s="10" t="str">
        <f>IF(DATAPENDUDUK!E491="","",DATAPENDUDUK!E491)</f>
        <v/>
      </c>
      <c r="E491" s="10" t="str">
        <f>IF(DATAPENDUDUK!F491="","",DATAPENDUDUK!F491)</f>
        <v/>
      </c>
      <c r="F491" s="11" t="str">
        <f>IF(DATAPENDUDUK!H491="","",DATAPENDUDUK!H491)</f>
        <v/>
      </c>
      <c r="G491" s="10" t="str">
        <f t="shared" ca="1" si="14"/>
        <v/>
      </c>
      <c r="H491" t="str">
        <f t="shared" ca="1" si="15"/>
        <v/>
      </c>
    </row>
    <row r="492" spans="1:8" x14ac:dyDescent="0.25">
      <c r="A492" s="10" t="str">
        <f>IF(DATAPENDUDUK!A492="","",DATAPENDUDUK!A492)</f>
        <v/>
      </c>
      <c r="B492" s="13" t="str">
        <f>IF(DATAPENDUDUK!B492="","",DATAPENDUDUK!B492)</f>
        <v/>
      </c>
      <c r="C492" s="10" t="str">
        <f>IF(DATAPENDUDUK!C492="","",DATAPENDUDUK!C492)</f>
        <v/>
      </c>
      <c r="D492" s="10" t="str">
        <f>IF(DATAPENDUDUK!E492="","",DATAPENDUDUK!E492)</f>
        <v/>
      </c>
      <c r="E492" s="10" t="str">
        <f>IF(DATAPENDUDUK!F492="","",DATAPENDUDUK!F492)</f>
        <v/>
      </c>
      <c r="F492" s="11" t="str">
        <f>IF(DATAPENDUDUK!H492="","",DATAPENDUDUK!H492)</f>
        <v/>
      </c>
      <c r="G492" s="10" t="str">
        <f t="shared" ca="1" si="14"/>
        <v/>
      </c>
      <c r="H492" t="str">
        <f t="shared" ca="1" si="15"/>
        <v/>
      </c>
    </row>
    <row r="493" spans="1:8" x14ac:dyDescent="0.25">
      <c r="A493" s="10" t="str">
        <f>IF(DATAPENDUDUK!A493="","",DATAPENDUDUK!A493)</f>
        <v/>
      </c>
      <c r="B493" s="13" t="str">
        <f>IF(DATAPENDUDUK!B493="","",DATAPENDUDUK!B493)</f>
        <v/>
      </c>
      <c r="C493" s="10" t="str">
        <f>IF(DATAPENDUDUK!C493="","",DATAPENDUDUK!C493)</f>
        <v/>
      </c>
      <c r="D493" s="10" t="str">
        <f>IF(DATAPENDUDUK!E493="","",DATAPENDUDUK!E493)</f>
        <v/>
      </c>
      <c r="E493" s="10" t="str">
        <f>IF(DATAPENDUDUK!F493="","",DATAPENDUDUK!F493)</f>
        <v/>
      </c>
      <c r="F493" s="11" t="str">
        <f>IF(DATAPENDUDUK!H493="","",DATAPENDUDUK!H493)</f>
        <v/>
      </c>
      <c r="G493" s="10" t="str">
        <f t="shared" ca="1" si="14"/>
        <v/>
      </c>
      <c r="H493" t="str">
        <f t="shared" ca="1" si="15"/>
        <v/>
      </c>
    </row>
    <row r="494" spans="1:8" x14ac:dyDescent="0.25">
      <c r="A494" s="10" t="str">
        <f>IF(DATAPENDUDUK!A494="","",DATAPENDUDUK!A494)</f>
        <v/>
      </c>
      <c r="B494" s="13" t="str">
        <f>IF(DATAPENDUDUK!B494="","",DATAPENDUDUK!B494)</f>
        <v/>
      </c>
      <c r="C494" s="10" t="str">
        <f>IF(DATAPENDUDUK!C494="","",DATAPENDUDUK!C494)</f>
        <v/>
      </c>
      <c r="D494" s="10" t="str">
        <f>IF(DATAPENDUDUK!E494="","",DATAPENDUDUK!E494)</f>
        <v/>
      </c>
      <c r="E494" s="10" t="str">
        <f>IF(DATAPENDUDUK!F494="","",DATAPENDUDUK!F494)</f>
        <v/>
      </c>
      <c r="F494" s="11" t="str">
        <f>IF(DATAPENDUDUK!H494="","",DATAPENDUDUK!H494)</f>
        <v/>
      </c>
      <c r="G494" s="10" t="str">
        <f t="shared" ca="1" si="14"/>
        <v/>
      </c>
      <c r="H494" t="str">
        <f t="shared" ca="1" si="15"/>
        <v/>
      </c>
    </row>
    <row r="495" spans="1:8" x14ac:dyDescent="0.25">
      <c r="A495" s="10" t="str">
        <f>IF(DATAPENDUDUK!A495="","",DATAPENDUDUK!A495)</f>
        <v/>
      </c>
      <c r="B495" s="13" t="str">
        <f>IF(DATAPENDUDUK!B495="","",DATAPENDUDUK!B495)</f>
        <v/>
      </c>
      <c r="C495" s="10" t="str">
        <f>IF(DATAPENDUDUK!C495="","",DATAPENDUDUK!C495)</f>
        <v/>
      </c>
      <c r="D495" s="10" t="str">
        <f>IF(DATAPENDUDUK!E495="","",DATAPENDUDUK!E495)</f>
        <v/>
      </c>
      <c r="E495" s="10" t="str">
        <f>IF(DATAPENDUDUK!F495="","",DATAPENDUDUK!F495)</f>
        <v/>
      </c>
      <c r="F495" s="11" t="str">
        <f>IF(DATAPENDUDUK!H495="","",DATAPENDUDUK!H495)</f>
        <v/>
      </c>
      <c r="G495" s="10" t="str">
        <f t="shared" ca="1" si="14"/>
        <v/>
      </c>
      <c r="H495" t="str">
        <f t="shared" ca="1" si="15"/>
        <v/>
      </c>
    </row>
    <row r="496" spans="1:8" x14ac:dyDescent="0.25">
      <c r="A496" s="10" t="str">
        <f>IF(DATAPENDUDUK!A496="","",DATAPENDUDUK!A496)</f>
        <v/>
      </c>
      <c r="B496" s="13" t="str">
        <f>IF(DATAPENDUDUK!B496="","",DATAPENDUDUK!B496)</f>
        <v/>
      </c>
      <c r="C496" s="10" t="str">
        <f>IF(DATAPENDUDUK!C496="","",DATAPENDUDUK!C496)</f>
        <v/>
      </c>
      <c r="D496" s="10" t="str">
        <f>IF(DATAPENDUDUK!E496="","",DATAPENDUDUK!E496)</f>
        <v/>
      </c>
      <c r="E496" s="10" t="str">
        <f>IF(DATAPENDUDUK!F496="","",DATAPENDUDUK!F496)</f>
        <v/>
      </c>
      <c r="F496" s="11" t="str">
        <f>IF(DATAPENDUDUK!H496="","",DATAPENDUDUK!H496)</f>
        <v/>
      </c>
      <c r="G496" s="10" t="str">
        <f t="shared" ca="1" si="14"/>
        <v/>
      </c>
      <c r="H496" t="str">
        <f t="shared" ca="1" si="15"/>
        <v/>
      </c>
    </row>
    <row r="497" spans="1:8" x14ac:dyDescent="0.25">
      <c r="A497" s="10" t="str">
        <f>IF(DATAPENDUDUK!A497="","",DATAPENDUDUK!A497)</f>
        <v/>
      </c>
      <c r="B497" s="13" t="str">
        <f>IF(DATAPENDUDUK!B497="","",DATAPENDUDUK!B497)</f>
        <v/>
      </c>
      <c r="C497" s="10" t="str">
        <f>IF(DATAPENDUDUK!C497="","",DATAPENDUDUK!C497)</f>
        <v/>
      </c>
      <c r="D497" s="10" t="str">
        <f>IF(DATAPENDUDUK!E497="","",DATAPENDUDUK!E497)</f>
        <v/>
      </c>
      <c r="E497" s="10" t="str">
        <f>IF(DATAPENDUDUK!F497="","",DATAPENDUDUK!F497)</f>
        <v/>
      </c>
      <c r="F497" s="11" t="str">
        <f>IF(DATAPENDUDUK!H497="","",DATAPENDUDUK!H497)</f>
        <v/>
      </c>
      <c r="G497" s="10" t="str">
        <f t="shared" ca="1" si="14"/>
        <v/>
      </c>
      <c r="H497" t="str">
        <f t="shared" ca="1" si="15"/>
        <v/>
      </c>
    </row>
    <row r="498" spans="1:8" x14ac:dyDescent="0.25">
      <c r="A498" s="10" t="str">
        <f>IF(DATAPENDUDUK!A498="","",DATAPENDUDUK!A498)</f>
        <v/>
      </c>
      <c r="B498" s="13" t="str">
        <f>IF(DATAPENDUDUK!B498="","",DATAPENDUDUK!B498)</f>
        <v/>
      </c>
      <c r="C498" s="10" t="str">
        <f>IF(DATAPENDUDUK!C498="","",DATAPENDUDUK!C498)</f>
        <v/>
      </c>
      <c r="D498" s="10" t="str">
        <f>IF(DATAPENDUDUK!E498="","",DATAPENDUDUK!E498)</f>
        <v/>
      </c>
      <c r="E498" s="10" t="str">
        <f>IF(DATAPENDUDUK!F498="","",DATAPENDUDUK!F498)</f>
        <v/>
      </c>
      <c r="F498" s="11" t="str">
        <f>IF(DATAPENDUDUK!H498="","",DATAPENDUDUK!H498)</f>
        <v/>
      </c>
      <c r="G498" s="10" t="str">
        <f t="shared" ca="1" si="14"/>
        <v/>
      </c>
      <c r="H498" t="str">
        <f t="shared" ca="1" si="15"/>
        <v/>
      </c>
    </row>
    <row r="499" spans="1:8" x14ac:dyDescent="0.25">
      <c r="A499" s="10" t="str">
        <f>IF(DATAPENDUDUK!A499="","",DATAPENDUDUK!A499)</f>
        <v/>
      </c>
      <c r="B499" s="13" t="str">
        <f>IF(DATAPENDUDUK!B499="","",DATAPENDUDUK!B499)</f>
        <v/>
      </c>
      <c r="C499" s="10" t="str">
        <f>IF(DATAPENDUDUK!C499="","",DATAPENDUDUK!C499)</f>
        <v/>
      </c>
      <c r="D499" s="10" t="str">
        <f>IF(DATAPENDUDUK!E499="","",DATAPENDUDUK!E499)</f>
        <v/>
      </c>
      <c r="E499" s="10" t="str">
        <f>IF(DATAPENDUDUK!F499="","",DATAPENDUDUK!F499)</f>
        <v/>
      </c>
      <c r="F499" s="11" t="str">
        <f>IF(DATAPENDUDUK!H499="","",DATAPENDUDUK!H499)</f>
        <v/>
      </c>
      <c r="G499" s="10" t="str">
        <f t="shared" ca="1" si="14"/>
        <v/>
      </c>
      <c r="H499" t="str">
        <f t="shared" ca="1" si="15"/>
        <v/>
      </c>
    </row>
    <row r="500" spans="1:8" x14ac:dyDescent="0.25">
      <c r="A500" s="10" t="str">
        <f>IF(DATAPENDUDUK!A500="","",DATAPENDUDUK!A500)</f>
        <v/>
      </c>
      <c r="B500" s="13" t="str">
        <f>IF(DATAPENDUDUK!B500="","",DATAPENDUDUK!B500)</f>
        <v/>
      </c>
      <c r="C500" s="10" t="str">
        <f>IF(DATAPENDUDUK!C500="","",DATAPENDUDUK!C500)</f>
        <v/>
      </c>
      <c r="D500" s="10" t="str">
        <f>IF(DATAPENDUDUK!E500="","",DATAPENDUDUK!E500)</f>
        <v/>
      </c>
      <c r="E500" s="10" t="str">
        <f>IF(DATAPENDUDUK!F500="","",DATAPENDUDUK!F500)</f>
        <v/>
      </c>
      <c r="F500" s="11" t="str">
        <f>IF(DATAPENDUDUK!H500="","",DATAPENDUDUK!H500)</f>
        <v/>
      </c>
      <c r="G500" s="10" t="str">
        <f t="shared" ca="1" si="14"/>
        <v/>
      </c>
      <c r="H500" t="str">
        <f t="shared" ca="1" si="15"/>
        <v/>
      </c>
    </row>
    <row r="501" spans="1:8" x14ac:dyDescent="0.25">
      <c r="A501" s="10" t="str">
        <f>IF(DATAPENDUDUK!A501="","",DATAPENDUDUK!A501)</f>
        <v/>
      </c>
      <c r="B501" s="13" t="str">
        <f>IF(DATAPENDUDUK!B501="","",DATAPENDUDUK!B501)</f>
        <v/>
      </c>
      <c r="C501" s="10" t="str">
        <f>IF(DATAPENDUDUK!C501="","",DATAPENDUDUK!C501)</f>
        <v/>
      </c>
      <c r="D501" s="10" t="str">
        <f>IF(DATAPENDUDUK!E501="","",DATAPENDUDUK!E501)</f>
        <v/>
      </c>
      <c r="E501" s="10" t="str">
        <f>IF(DATAPENDUDUK!F501="","",DATAPENDUDUK!F501)</f>
        <v/>
      </c>
      <c r="F501" s="11" t="str">
        <f>IF(DATAPENDUDUK!H501="","",DATAPENDUDUK!H501)</f>
        <v/>
      </c>
      <c r="G501" s="10" t="str">
        <f t="shared" ca="1" si="14"/>
        <v/>
      </c>
      <c r="H501" t="str">
        <f t="shared" ca="1" si="15"/>
        <v/>
      </c>
    </row>
    <row r="502" spans="1:8" x14ac:dyDescent="0.25">
      <c r="A502" s="10" t="str">
        <f>IF(DATAPENDUDUK!A502="","",DATAPENDUDUK!A502)</f>
        <v/>
      </c>
      <c r="B502" s="13" t="str">
        <f>IF(DATAPENDUDUK!B502="","",DATAPENDUDUK!B502)</f>
        <v/>
      </c>
      <c r="C502" s="10" t="str">
        <f>IF(DATAPENDUDUK!C502="","",DATAPENDUDUK!C502)</f>
        <v/>
      </c>
      <c r="D502" s="10" t="str">
        <f>IF(DATAPENDUDUK!E502="","",DATAPENDUDUK!E502)</f>
        <v/>
      </c>
      <c r="E502" s="10" t="str">
        <f>IF(DATAPENDUDUK!F502="","",DATAPENDUDUK!F502)</f>
        <v/>
      </c>
      <c r="F502" s="11" t="str">
        <f>IF(DATAPENDUDUK!H502="","",DATAPENDUDUK!H502)</f>
        <v/>
      </c>
      <c r="G502" s="10" t="str">
        <f t="shared" ca="1" si="14"/>
        <v/>
      </c>
      <c r="H502" t="str">
        <f t="shared" ca="1" si="15"/>
        <v/>
      </c>
    </row>
    <row r="503" spans="1:8" x14ac:dyDescent="0.25">
      <c r="A503" s="10" t="str">
        <f>IF(DATAPENDUDUK!A503="","",DATAPENDUDUK!A503)</f>
        <v/>
      </c>
      <c r="B503" s="13" t="str">
        <f>IF(DATAPENDUDUK!B503="","",DATAPENDUDUK!B503)</f>
        <v/>
      </c>
      <c r="C503" s="10" t="str">
        <f>IF(DATAPENDUDUK!C503="","",DATAPENDUDUK!C503)</f>
        <v/>
      </c>
      <c r="D503" s="10" t="str">
        <f>IF(DATAPENDUDUK!E503="","",DATAPENDUDUK!E503)</f>
        <v/>
      </c>
      <c r="E503" s="10" t="str">
        <f>IF(DATAPENDUDUK!F503="","",DATAPENDUDUK!F503)</f>
        <v/>
      </c>
      <c r="F503" s="11" t="str">
        <f>IF(DATAPENDUDUK!H503="","",DATAPENDUDUK!H503)</f>
        <v/>
      </c>
      <c r="G503" s="10" t="str">
        <f t="shared" ca="1" si="14"/>
        <v/>
      </c>
      <c r="H503" t="str">
        <f t="shared" ca="1" si="15"/>
        <v/>
      </c>
    </row>
  </sheetData>
  <pageMargins left="0.7" right="0.7" top="0.75" bottom="0.75" header="0.3" footer="0.3"/>
  <drawing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4:H16"/>
  <sheetViews>
    <sheetView topLeftCell="A4" workbookViewId="0">
      <selection activeCell="F9" activeCellId="1" sqref="D9:D13 F9:F13"/>
    </sheetView>
  </sheetViews>
  <sheetFormatPr defaultRowHeight="15" x14ac:dyDescent="0.25"/>
  <cols>
    <col min="1" max="1" width="23.7109375" bestFit="1" customWidth="1"/>
    <col min="2" max="2" width="16.7109375" style="10" customWidth="1"/>
    <col min="3" max="3" width="9.7109375" style="10" customWidth="1"/>
    <col min="4" max="4" width="12.28515625" customWidth="1"/>
    <col min="5" max="5" width="20.140625" customWidth="1"/>
    <col min="6" max="6" width="20" customWidth="1"/>
  </cols>
  <sheetData>
    <row r="4" spans="1:8" ht="15.75" thickBot="1" x14ac:dyDescent="0.3">
      <c r="A4" s="14"/>
      <c r="B4" s="15"/>
      <c r="C4" s="15"/>
      <c r="D4" s="14"/>
      <c r="E4" s="14"/>
      <c r="F4" s="14"/>
      <c r="G4" s="14"/>
      <c r="H4" s="14"/>
    </row>
    <row r="5" spans="1:8" ht="15.75" thickTop="1" x14ac:dyDescent="0.25"/>
    <row r="6" spans="1:8" s="22" customFormat="1" x14ac:dyDescent="0.25">
      <c r="A6" s="19" t="s">
        <v>33</v>
      </c>
      <c r="B6" s="20"/>
      <c r="C6" s="21"/>
      <c r="D6" s="22" t="s">
        <v>38</v>
      </c>
      <c r="E6" s="19"/>
    </row>
    <row r="7" spans="1:8" s="22" customFormat="1" x14ac:dyDescent="0.25">
      <c r="A7" s="23"/>
      <c r="B7" s="24"/>
      <c r="C7" s="24"/>
      <c r="E7" s="24"/>
      <c r="F7" s="24"/>
    </row>
    <row r="8" spans="1:8" s="22" customFormat="1" x14ac:dyDescent="0.25">
      <c r="A8" s="29" t="s">
        <v>34</v>
      </c>
      <c r="B8" s="30" t="s">
        <v>35</v>
      </c>
      <c r="C8" s="21"/>
      <c r="D8" s="31" t="s">
        <v>39</v>
      </c>
      <c r="E8" s="30" t="s">
        <v>40</v>
      </c>
      <c r="F8" s="30" t="s">
        <v>35</v>
      </c>
    </row>
    <row r="9" spans="1:8" s="22" customFormat="1" x14ac:dyDescent="0.25">
      <c r="A9" s="29" t="s">
        <v>20</v>
      </c>
      <c r="B9" s="30">
        <f>COUNTIF(USIA!$D$5:$D$50000,REKAPITULASI!A9)</f>
        <v>2</v>
      </c>
      <c r="C9" s="21"/>
      <c r="D9" s="31" t="s">
        <v>41</v>
      </c>
      <c r="E9" s="30" t="s">
        <v>46</v>
      </c>
      <c r="F9" s="30">
        <f ca="1">COUNTIF(USIA!$H$5:$H$500000,REKAPITULASI!E9)</f>
        <v>0</v>
      </c>
    </row>
    <row r="10" spans="1:8" s="22" customFormat="1" x14ac:dyDescent="0.25">
      <c r="A10" s="29" t="s">
        <v>36</v>
      </c>
      <c r="B10" s="30">
        <f>COUNTIF(USIA!$D$5:$D$50000,REKAPITULASI!A10)</f>
        <v>1</v>
      </c>
      <c r="C10" s="21"/>
      <c r="D10" s="31" t="s">
        <v>42</v>
      </c>
      <c r="E10" s="30" t="s">
        <v>47</v>
      </c>
      <c r="F10" s="30">
        <f ca="1">COUNTIF(USIA!$H$5:$H$500000,REKAPITULASI!E10)</f>
        <v>0</v>
      </c>
    </row>
    <row r="11" spans="1:8" s="22" customFormat="1" x14ac:dyDescent="0.25">
      <c r="A11" s="29" t="s">
        <v>37</v>
      </c>
      <c r="B11" s="30">
        <f>SUM(B9:B10)</f>
        <v>3</v>
      </c>
      <c r="C11" s="21"/>
      <c r="D11" s="31" t="s">
        <v>43</v>
      </c>
      <c r="E11" s="30" t="s">
        <v>48</v>
      </c>
      <c r="F11" s="30">
        <f ca="1">COUNTIF(USIA!$H$5:$H$500000,REKAPITULASI!E11)</f>
        <v>0</v>
      </c>
    </row>
    <row r="12" spans="1:8" s="22" customFormat="1" x14ac:dyDescent="0.25">
      <c r="A12" s="25"/>
      <c r="B12" s="21"/>
      <c r="C12" s="21"/>
      <c r="D12" s="31" t="s">
        <v>44</v>
      </c>
      <c r="E12" s="30" t="s">
        <v>49</v>
      </c>
      <c r="F12" s="30">
        <f ca="1">COUNTIF(USIA!$H$5:$H$500000,REKAPITULASI!E12)</f>
        <v>3</v>
      </c>
    </row>
    <row r="13" spans="1:8" s="22" customFormat="1" x14ac:dyDescent="0.25">
      <c r="A13" s="25" t="s">
        <v>51</v>
      </c>
      <c r="B13" s="21" t="s">
        <v>35</v>
      </c>
      <c r="C13" s="21"/>
      <c r="D13" s="31" t="s">
        <v>45</v>
      </c>
      <c r="E13" s="30" t="s">
        <v>50</v>
      </c>
      <c r="F13" s="30">
        <f ca="1">COUNTIF(USIA!$H$5:$H$500000,REKAPITULASI!E13)</f>
        <v>0</v>
      </c>
    </row>
    <row r="14" spans="1:8" s="22" customFormat="1" x14ac:dyDescent="0.25">
      <c r="A14" s="25" t="s">
        <v>52</v>
      </c>
      <c r="B14" s="21" t="str">
        <f>COUNTIF(DATAPENDUDUK!$J$5:$J$500000,"Kepala Keluarga")&amp;" Keluarga"</f>
        <v>1 Keluarga</v>
      </c>
      <c r="C14" s="21"/>
      <c r="D14" s="31" t="s">
        <v>37</v>
      </c>
      <c r="E14" s="31"/>
      <c r="F14" s="31">
        <f ca="1">SUM(F9:F13)</f>
        <v>3</v>
      </c>
    </row>
    <row r="15" spans="1:8" s="22" customFormat="1" x14ac:dyDescent="0.25">
      <c r="A15" s="21"/>
      <c r="B15" s="21"/>
      <c r="C15" s="21"/>
    </row>
    <row r="16" spans="1:8" s="22" customFormat="1" x14ac:dyDescent="0.25">
      <c r="B16" s="21"/>
      <c r="C16" s="21"/>
    </row>
  </sheetData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7</vt:i4>
      </vt:variant>
    </vt:vector>
  </HeadingPairs>
  <TitlesOfParts>
    <vt:vector size="7" baseType="lpstr">
      <vt:lpstr>HOME</vt:lpstr>
      <vt:lpstr>DATAPENDUDUK</vt:lpstr>
      <vt:lpstr>CARIDATA</vt:lpstr>
      <vt:lpstr>MENINGGAL</vt:lpstr>
      <vt:lpstr>PINDAH</vt:lpstr>
      <vt:lpstr>USIA</vt:lpstr>
      <vt:lpstr>REKAPITULASI</vt:lpstr>
    </vt:vector>
  </TitlesOfParts>
  <Company/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ERWIN SUHARIYANTO</dc:creator>
  <cp:lastModifiedBy>achmad iqsan</cp:lastModifiedBy>
  <dcterms:created xsi:type="dcterms:W3CDTF">2021-02-01T15:00:41Z</dcterms:created>
  <dcterms:modified xsi:type="dcterms:W3CDTF">2021-04-18T01:29:00Z</dcterms:modified>
</cp:coreProperties>
</file>